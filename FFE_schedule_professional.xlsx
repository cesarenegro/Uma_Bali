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PROJECTS\UMA BALI CZ\"/>
    </mc:Choice>
  </mc:AlternateContent>
  <xr:revisionPtr revIDLastSave="0" documentId="13_ncr:1_{2ED797C6-F31F-4F68-89A2-D3FE90E7A7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FE Schedule" sheetId="1" r:id="rId1"/>
    <sheet name="Assumptions" sheetId="2" r:id="rId2"/>
  </sheets>
  <definedNames>
    <definedName name="_xlnm._FilterDatabase" localSheetId="0" hidden="1">'FFE Schedule'!$A$1:$O$90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0" i="1" l="1"/>
  <c r="L90" i="1"/>
  <c r="H90" i="1"/>
  <c r="M89" i="1"/>
  <c r="L89" i="1"/>
  <c r="H89" i="1"/>
  <c r="M88" i="1"/>
  <c r="L88" i="1"/>
  <c r="H88" i="1"/>
  <c r="L87" i="1"/>
  <c r="M87" i="1" s="1"/>
  <c r="H87" i="1"/>
  <c r="L86" i="1"/>
  <c r="M86" i="1" s="1"/>
  <c r="H86" i="1"/>
  <c r="L85" i="1"/>
  <c r="M85" i="1" s="1"/>
  <c r="H85" i="1"/>
  <c r="L84" i="1"/>
  <c r="M84" i="1" s="1"/>
  <c r="H84" i="1"/>
  <c r="L83" i="1"/>
  <c r="M83" i="1" s="1"/>
  <c r="H83" i="1"/>
  <c r="M82" i="1"/>
  <c r="L82" i="1"/>
  <c r="H82" i="1"/>
  <c r="M81" i="1"/>
  <c r="L81" i="1"/>
  <c r="H81" i="1"/>
  <c r="M80" i="1"/>
  <c r="L80" i="1"/>
  <c r="H80" i="1"/>
  <c r="L79" i="1"/>
  <c r="M79" i="1" s="1"/>
  <c r="H79" i="1"/>
  <c r="L78" i="1"/>
  <c r="M78" i="1" s="1"/>
  <c r="H78" i="1"/>
  <c r="L77" i="1"/>
  <c r="M77" i="1" s="1"/>
  <c r="H77" i="1"/>
  <c r="L76" i="1"/>
  <c r="M76" i="1" s="1"/>
  <c r="H76" i="1"/>
  <c r="L75" i="1"/>
  <c r="M75" i="1" s="1"/>
  <c r="H75" i="1"/>
  <c r="M74" i="1"/>
  <c r="L74" i="1"/>
  <c r="H74" i="1"/>
  <c r="M73" i="1"/>
  <c r="L73" i="1"/>
  <c r="H73" i="1"/>
  <c r="M72" i="1"/>
  <c r="L72" i="1"/>
  <c r="H72" i="1"/>
  <c r="L71" i="1"/>
  <c r="M71" i="1" s="1"/>
  <c r="H71" i="1"/>
  <c r="L70" i="1"/>
  <c r="M70" i="1" s="1"/>
  <c r="H70" i="1"/>
  <c r="L69" i="1"/>
  <c r="M69" i="1" s="1"/>
  <c r="H69" i="1"/>
  <c r="L68" i="1"/>
  <c r="M68" i="1" s="1"/>
  <c r="H68" i="1"/>
  <c r="L67" i="1"/>
  <c r="M67" i="1" s="1"/>
  <c r="H67" i="1"/>
  <c r="M66" i="1"/>
  <c r="L66" i="1"/>
  <c r="H66" i="1"/>
  <c r="M65" i="1"/>
  <c r="L65" i="1"/>
  <c r="H65" i="1"/>
  <c r="M64" i="1"/>
  <c r="L64" i="1"/>
  <c r="H64" i="1"/>
  <c r="L63" i="1"/>
  <c r="M63" i="1" s="1"/>
  <c r="H63" i="1"/>
  <c r="L62" i="1"/>
  <c r="M62" i="1" s="1"/>
  <c r="H62" i="1"/>
  <c r="L61" i="1"/>
  <c r="M61" i="1" s="1"/>
  <c r="H61" i="1"/>
  <c r="L60" i="1"/>
  <c r="M60" i="1" s="1"/>
  <c r="H60" i="1"/>
  <c r="L59" i="1"/>
  <c r="M59" i="1" s="1"/>
  <c r="H59" i="1"/>
  <c r="M58" i="1"/>
  <c r="L58" i="1"/>
  <c r="H58" i="1"/>
  <c r="M57" i="1"/>
  <c r="L57" i="1"/>
  <c r="H57" i="1"/>
  <c r="M56" i="1"/>
  <c r="L56" i="1"/>
  <c r="H56" i="1"/>
  <c r="L55" i="1"/>
  <c r="M55" i="1" s="1"/>
  <c r="H55" i="1"/>
  <c r="L54" i="1"/>
  <c r="M54" i="1" s="1"/>
  <c r="H54" i="1"/>
  <c r="L53" i="1"/>
  <c r="M53" i="1" s="1"/>
  <c r="H53" i="1"/>
  <c r="L52" i="1"/>
  <c r="M52" i="1" s="1"/>
  <c r="H52" i="1"/>
  <c r="L51" i="1"/>
  <c r="M51" i="1" s="1"/>
  <c r="H51" i="1"/>
  <c r="M50" i="1"/>
  <c r="L50" i="1"/>
  <c r="H50" i="1"/>
  <c r="M49" i="1"/>
  <c r="L49" i="1"/>
  <c r="H49" i="1"/>
  <c r="M48" i="1"/>
  <c r="L48" i="1"/>
  <c r="H48" i="1"/>
  <c r="L47" i="1"/>
  <c r="M47" i="1" s="1"/>
  <c r="H47" i="1"/>
  <c r="L46" i="1"/>
  <c r="M46" i="1" s="1"/>
  <c r="H46" i="1"/>
  <c r="L45" i="1"/>
  <c r="M45" i="1" s="1"/>
  <c r="H45" i="1"/>
  <c r="L44" i="1"/>
  <c r="M44" i="1" s="1"/>
  <c r="H44" i="1"/>
  <c r="L43" i="1"/>
  <c r="M43" i="1" s="1"/>
  <c r="H43" i="1"/>
  <c r="M42" i="1"/>
  <c r="L42" i="1"/>
  <c r="H42" i="1"/>
  <c r="M41" i="1"/>
  <c r="L41" i="1"/>
  <c r="H41" i="1"/>
  <c r="M40" i="1"/>
  <c r="L40" i="1"/>
  <c r="H40" i="1"/>
  <c r="L39" i="1"/>
  <c r="M39" i="1" s="1"/>
  <c r="H39" i="1"/>
  <c r="L38" i="1"/>
  <c r="M38" i="1" s="1"/>
  <c r="H38" i="1"/>
  <c r="L37" i="1"/>
  <c r="M37" i="1" s="1"/>
  <c r="H37" i="1"/>
  <c r="L36" i="1"/>
  <c r="M36" i="1" s="1"/>
  <c r="H36" i="1"/>
  <c r="L35" i="1"/>
  <c r="M35" i="1" s="1"/>
  <c r="H35" i="1"/>
  <c r="M34" i="1"/>
  <c r="L34" i="1"/>
  <c r="H34" i="1"/>
  <c r="M33" i="1"/>
  <c r="L33" i="1"/>
  <c r="H33" i="1"/>
  <c r="M32" i="1"/>
  <c r="L32" i="1"/>
  <c r="H32" i="1"/>
  <c r="M31" i="1"/>
  <c r="L31" i="1"/>
  <c r="H31" i="1"/>
  <c r="L30" i="1"/>
  <c r="M30" i="1" s="1"/>
  <c r="H30" i="1"/>
  <c r="L29" i="1"/>
  <c r="M29" i="1" s="1"/>
  <c r="H29" i="1"/>
  <c r="L28" i="1"/>
  <c r="M28" i="1" s="1"/>
  <c r="H28" i="1"/>
  <c r="L27" i="1"/>
  <c r="M27" i="1" s="1"/>
  <c r="H27" i="1"/>
  <c r="L26" i="1"/>
  <c r="M26" i="1" s="1"/>
  <c r="H26" i="1"/>
  <c r="M25" i="1"/>
  <c r="L25" i="1"/>
  <c r="H25" i="1"/>
  <c r="M24" i="1"/>
  <c r="L24" i="1"/>
  <c r="H24" i="1"/>
  <c r="M23" i="1"/>
  <c r="L23" i="1"/>
  <c r="H23" i="1"/>
  <c r="L22" i="1"/>
  <c r="M22" i="1" s="1"/>
  <c r="H22" i="1"/>
  <c r="L21" i="1"/>
  <c r="M21" i="1" s="1"/>
  <c r="H21" i="1"/>
  <c r="L20" i="1"/>
  <c r="M20" i="1" s="1"/>
  <c r="H20" i="1"/>
  <c r="L19" i="1"/>
  <c r="M19" i="1" s="1"/>
  <c r="H19" i="1"/>
  <c r="L18" i="1"/>
  <c r="M18" i="1" s="1"/>
  <c r="H18" i="1"/>
  <c r="M17" i="1"/>
  <c r="L17" i="1"/>
  <c r="H17" i="1"/>
  <c r="M16" i="1"/>
  <c r="L16" i="1"/>
  <c r="H16" i="1"/>
  <c r="M15" i="1"/>
  <c r="L15" i="1"/>
  <c r="H15" i="1"/>
  <c r="L14" i="1"/>
  <c r="M14" i="1" s="1"/>
  <c r="H14" i="1"/>
  <c r="L13" i="1"/>
  <c r="M13" i="1" s="1"/>
  <c r="H13" i="1"/>
  <c r="L12" i="1"/>
  <c r="M12" i="1" s="1"/>
  <c r="H12" i="1"/>
  <c r="L11" i="1"/>
  <c r="M11" i="1" s="1"/>
  <c r="H11" i="1"/>
  <c r="L10" i="1"/>
  <c r="M10" i="1" s="1"/>
  <c r="H10" i="1"/>
  <c r="M9" i="1"/>
  <c r="L9" i="1"/>
  <c r="H9" i="1"/>
  <c r="M8" i="1"/>
  <c r="L8" i="1"/>
  <c r="H8" i="1"/>
  <c r="M7" i="1"/>
  <c r="L7" i="1"/>
  <c r="H7" i="1"/>
  <c r="L6" i="1"/>
  <c r="M6" i="1" s="1"/>
  <c r="H6" i="1"/>
  <c r="L5" i="1"/>
  <c r="M5" i="1" s="1"/>
  <c r="H5" i="1"/>
  <c r="L4" i="1"/>
  <c r="M4" i="1" s="1"/>
  <c r="H4" i="1"/>
  <c r="L3" i="1"/>
  <c r="M3" i="1" s="1"/>
  <c r="H3" i="1"/>
  <c r="L2" i="1"/>
  <c r="M2" i="1" s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Professional FF&amp;E schedule generated from uploaded ZIP contents. Item Code, Unit Price, and Image Path left blank as requested.</t>
        </r>
      </text>
    </comment>
  </commentList>
</comments>
</file>

<file path=xl/sharedStrings.xml><?xml version="1.0" encoding="utf-8"?>
<sst xmlns="http://schemas.openxmlformats.org/spreadsheetml/2006/main" count="663" uniqueCount="418">
  <si>
    <t>Item Name</t>
  </si>
  <si>
    <t>Item Code</t>
  </si>
  <si>
    <t>Category</t>
  </si>
  <si>
    <t>Description</t>
  </si>
  <si>
    <t>Width (cm)</t>
  </si>
  <si>
    <t>Depth / Length (cm)</t>
  </si>
  <si>
    <t>Height (cm)</t>
  </si>
  <si>
    <t>Dimensions W/L/H (cm)</t>
  </si>
  <si>
    <t>Material</t>
  </si>
  <si>
    <t>Upholstering</t>
  </si>
  <si>
    <t>Unit Price</t>
  </si>
  <si>
    <t>Volume (m³)</t>
  </si>
  <si>
    <t>Weight Est. (kg)</t>
  </si>
  <si>
    <t>Image Path</t>
  </si>
  <si>
    <t>Source Filename</t>
  </si>
  <si>
    <t>Carved Low Sideboard</t>
  </si>
  <si>
    <t>Storage / Cabinets</t>
  </si>
  <si>
    <t>Low four-door sideboard with rounded corners and carved wood front</t>
  </si>
  <si>
    <t>None</t>
  </si>
  <si>
    <t>cabinet (1).png</t>
  </si>
  <si>
    <t>Monolithic Log Coffee Table</t>
  </si>
  <si>
    <t>Coffeetable</t>
  </si>
  <si>
    <t>Solid timber block coffee table with visible end-grain cracking</t>
  </si>
  <si>
    <t>cabinet (2).png</t>
  </si>
  <si>
    <t>Rounded Carved Credenza</t>
  </si>
  <si>
    <t>Curved low credenza with carved front panels</t>
  </si>
  <si>
    <t>cabinet (3).png</t>
  </si>
  <si>
    <t>Monolithic Timber Bench Table</t>
  </si>
  <si>
    <t>Solid timber bench / low table with sculpted end block</t>
  </si>
  <si>
    <t>cabinet (4).png</t>
  </si>
  <si>
    <t>Embossed Metal Cabinet</t>
  </si>
  <si>
    <t>Low four-door storage cabinet with embossed metal fronts</t>
  </si>
  <si>
    <t>Patinated metal / dark wood carcass</t>
  </si>
  <si>
    <t>cabinet (5).png</t>
  </si>
  <si>
    <t>Textured Buffet Cabinet</t>
  </si>
  <si>
    <t>Long carved buffet cabinet with four doors</t>
  </si>
  <si>
    <t>cabinet (6).png</t>
  </si>
  <si>
    <t>Live-Edge Block Table</t>
  </si>
  <si>
    <t>Solid timber block coffee table with natural split grain</t>
  </si>
  <si>
    <t>cabinet (7).png</t>
  </si>
  <si>
    <t>Outdoor Armchair - Upholstered</t>
  </si>
  <si>
    <t>Sofa Chairs</t>
  </si>
  <si>
    <t>Outdoor armchair with timber frame and upholstered seat/back</t>
  </si>
  <si>
    <t>Textured beige fabric</t>
  </si>
  <si>
    <t>chair BN1.png</t>
  </si>
  <si>
    <t>Dining Chair - Sled Base</t>
  </si>
  <si>
    <t>Chairs</t>
  </si>
  <si>
    <t>Dining chair with open sled base and upholstered seat</t>
  </si>
  <si>
    <t>chair BN2.png</t>
  </si>
  <si>
    <t>Lounge Chair - Box Frame</t>
  </si>
  <si>
    <t>Lounge chair with box arms and deep upholstered cushions</t>
  </si>
  <si>
    <t>Dark charcoal fabric</t>
  </si>
  <si>
    <t>chair BN3.png</t>
  </si>
  <si>
    <t>Dining Chair - Open Frame</t>
  </si>
  <si>
    <t>Dining chair with open-frame base and upholstered seat</t>
  </si>
  <si>
    <t>chair BN4.png</t>
  </si>
  <si>
    <t>Dining Armchair - Upholstered</t>
  </si>
  <si>
    <t>Dining armchair with timber arms and upholstered seat/back</t>
  </si>
  <si>
    <t>chair BN5.png</t>
  </si>
  <si>
    <t>Dining Chair - Slat Back</t>
  </si>
  <si>
    <t>Straight dining chair with slatted back</t>
  </si>
  <si>
    <t>chair BN6.png</t>
  </si>
  <si>
    <t>Dining Armchair - Solid Wood</t>
  </si>
  <si>
    <t>Minimal dining armchair with solid timber seat</t>
  </si>
  <si>
    <t>chair BN7.png</t>
  </si>
  <si>
    <t>Outdoor Lounge Armchair</t>
  </si>
  <si>
    <t>Outdoor lounge armchair with broad timber frame</t>
  </si>
  <si>
    <t>chair BN8.png</t>
  </si>
  <si>
    <t>Rope Panel Armchair</t>
  </si>
  <si>
    <t>Outdoor armchair with rope side/back panels</t>
  </si>
  <si>
    <t>Teak wood / woven rope</t>
  </si>
  <si>
    <t>chairs (2).png</t>
  </si>
  <si>
    <t>Outdoor Mesh Dining Armchair</t>
  </si>
  <si>
    <t>Dining chair with mesh sling seat/back and timber frame</t>
  </si>
  <si>
    <t>Teak wood / outdoor mesh</t>
  </si>
  <si>
    <t>Mesh sling</t>
  </si>
  <si>
    <t>chairs (4).png</t>
  </si>
  <si>
    <t>Dining Chair - Circular Back Detail</t>
  </si>
  <si>
    <t>Dining chair with circular back motif</t>
  </si>
  <si>
    <t>chairs (5).png</t>
  </si>
  <si>
    <t>Round Marble Side Table</t>
  </si>
  <si>
    <t>Side Table</t>
  </si>
  <si>
    <t>Compact round side table with dark marble top and timber pedestal</t>
  </si>
  <si>
    <t>coffeetable_01.png</t>
  </si>
  <si>
    <t>Carved Dark Pedestal Table</t>
  </si>
  <si>
    <t>Round pedestal side table with carved dark wood base</t>
  </si>
  <si>
    <t>coffeetable_08.png</t>
  </si>
  <si>
    <t>Dark Carved Side Table</t>
  </si>
  <si>
    <t>Small round side table with carved cylindrical base</t>
  </si>
  <si>
    <t>coffeetable_13.png</t>
  </si>
  <si>
    <t>Dark Marble Pedestal Table</t>
  </si>
  <si>
    <t>Round side table with stone top and tapered timber base</t>
  </si>
  <si>
    <t>coffeetable_16.png</t>
  </si>
  <si>
    <t>Square Pedestal Table</t>
  </si>
  <si>
    <t>Square side table with sculptural pedestal base</t>
  </si>
  <si>
    <t>coffeetable_18.png</t>
  </si>
  <si>
    <t>Square Side Table</t>
  </si>
  <si>
    <t>Compact square side table with monolithic base</t>
  </si>
  <si>
    <t>coffetable (1).png</t>
  </si>
  <si>
    <t>Stone Bench Coffee Table</t>
  </si>
  <si>
    <t>Rectangular monolithic stone coffee table</t>
  </si>
  <si>
    <t>Light stone</t>
  </si>
  <si>
    <t>coffetable (10).png</t>
  </si>
  <si>
    <t>Round Side Table - Open Base</t>
  </si>
  <si>
    <t>Round table with open timber base</t>
  </si>
  <si>
    <t>coffetable (2).png</t>
  </si>
  <si>
    <t>Round Coffee Table - Twin Pedestal</t>
  </si>
  <si>
    <t>Large round coffee table with twin pedestal base</t>
  </si>
  <si>
    <t>coffetable (3).png</t>
  </si>
  <si>
    <t>Round Coffee Table - Drum Base</t>
  </si>
  <si>
    <t>Round coffee table with drum base</t>
  </si>
  <si>
    <t>coffetable (4).png</t>
  </si>
  <si>
    <t>Round Marble Side Table - Dark</t>
  </si>
  <si>
    <t>Round side table with black marble top</t>
  </si>
  <si>
    <t>coffetable (5).png</t>
  </si>
  <si>
    <t>Pouf Table</t>
  </si>
  <si>
    <t>Round upholstered pouf / side ottoman</t>
  </si>
  <si>
    <t>Upholstery over foam</t>
  </si>
  <si>
    <t>Taupe fabric</t>
  </si>
  <si>
    <t>coffetable (6).png</t>
  </si>
  <si>
    <t>Rectangular Stone Coffee Table</t>
  </si>
  <si>
    <t>Rectangular stone coffee table with simple leg supports</t>
  </si>
  <si>
    <t>coffetable (7).png</t>
  </si>
  <si>
    <t>Low Stone Platform Table</t>
  </si>
  <si>
    <t>Low platform coffee table / bench</t>
  </si>
  <si>
    <t>coffetable (8).png</t>
  </si>
  <si>
    <t>Upholstered Bench Table</t>
  </si>
  <si>
    <t>Low upholstered bench / coffee table</t>
  </si>
  <si>
    <t>coffetable (9).png</t>
  </si>
  <si>
    <t>Pouf Ottoman Set</t>
  </si>
  <si>
    <t>Pair of upholstered pouf ottomans</t>
  </si>
  <si>
    <t>Taupe and beige fabric</t>
  </si>
  <si>
    <t>pouff.png</t>
  </si>
  <si>
    <t>Sculptural Stone Coffee Table</t>
  </si>
  <si>
    <t>Rounded rectangular stone coffee table</t>
  </si>
  <si>
    <t>side_table_02.png</t>
  </si>
  <si>
    <t>Round Side Table - Stone</t>
  </si>
  <si>
    <t>Round side table with cylindrical base</t>
  </si>
  <si>
    <t>side_table_03.png</t>
  </si>
  <si>
    <t>Round Dining Table - Sculptural</t>
  </si>
  <si>
    <t>Dining Tables</t>
  </si>
  <si>
    <t>Large round dining table with segmented top</t>
  </si>
  <si>
    <t>side_table_05.png</t>
  </si>
  <si>
    <t>Slatted Console Table</t>
  </si>
  <si>
    <t>Tables</t>
  </si>
  <si>
    <t>Long slatted timber console / dining table</t>
  </si>
  <si>
    <t>Teak wood</t>
  </si>
  <si>
    <t>side_table_07.png</t>
  </si>
  <si>
    <t>Oval Coffee Table - Twin Cylinder</t>
  </si>
  <si>
    <t>Oval coffee table with dual cylinder base</t>
  </si>
  <si>
    <t>side_table_08.png</t>
  </si>
  <si>
    <t>Low Bench Table</t>
  </si>
  <si>
    <t>Long low bench / display table</t>
  </si>
  <si>
    <t>side_table_09.png</t>
  </si>
  <si>
    <t>Round Outdoor Dining Table</t>
  </si>
  <si>
    <t>Round slatted outdoor table</t>
  </si>
  <si>
    <t>side_table_12.png</t>
  </si>
  <si>
    <t>Slatted Coffee Table</t>
  </si>
  <si>
    <t>Low slatted coffee table with stone inserts</t>
  </si>
  <si>
    <t>Dark wood / light stone</t>
  </si>
  <si>
    <t>side_table_14.png</t>
  </si>
  <si>
    <t>Three-Seat Sofa - Beige</t>
  </si>
  <si>
    <t>Sofa</t>
  </si>
  <si>
    <t>Straight three-seat indoor sofa with plinth base</t>
  </si>
  <si>
    <t>sofa (1).png</t>
  </si>
  <si>
    <t>Outdoor Sofa - Linear</t>
  </si>
  <si>
    <t>Outdoor three-seat sofa with teak frame</t>
  </si>
  <si>
    <t>Off-white outdoor fabric</t>
  </si>
  <si>
    <t>sofa (12).png</t>
  </si>
  <si>
    <t>Outdoor Sofa - Rope Panel</t>
  </si>
  <si>
    <t>Outdoor sofa with rope panel sides</t>
  </si>
  <si>
    <t>sofa (13).png</t>
  </si>
  <si>
    <t>Sectional Sofa with Ottoman</t>
  </si>
  <si>
    <t>Outdoor sectional with ottoman module</t>
  </si>
  <si>
    <t>Brown outdoor fabric</t>
  </si>
  <si>
    <t>sofa (14).png</t>
  </si>
  <si>
    <t>Sectional Sofa with Ottoman - White</t>
  </si>
  <si>
    <t>sofa (15).png</t>
  </si>
  <si>
    <t>Twin Lounger Pair - Blue Fabric</t>
  </si>
  <si>
    <t>Sunbeds</t>
  </si>
  <si>
    <t>Pair of adjustable loungers</t>
  </si>
  <si>
    <t>Blue outdoor fabric</t>
  </si>
  <si>
    <t>sofa (16).png</t>
  </si>
  <si>
    <t>Linear Outdoor Sofa - White</t>
  </si>
  <si>
    <t>Outdoor straight sofa with side trays</t>
  </si>
  <si>
    <t>sofa (17).png</t>
  </si>
  <si>
    <t>Minimal Bench Sofa</t>
  </si>
  <si>
    <t>Minimal sofa with enclosed sides and timber plinth</t>
  </si>
  <si>
    <t>Dark wood base</t>
  </si>
  <si>
    <t>Off-white bouclé fabric</t>
  </si>
  <si>
    <t>sofa (18).png</t>
  </si>
  <si>
    <t>Outdoor Sofa - White Frame</t>
  </si>
  <si>
    <t>Outdoor sofa with plank teak frame</t>
  </si>
  <si>
    <t>sofa (19).png</t>
  </si>
  <si>
    <t>Single Lounger - Dark Upholstery</t>
  </si>
  <si>
    <t>Single adjustable lounger with timber frame</t>
  </si>
  <si>
    <t>sofa (20).png</t>
  </si>
  <si>
    <t>Minimal Bench Sofa - White</t>
  </si>
  <si>
    <t>Low bench sofa with enclosed sides</t>
  </si>
  <si>
    <t>sofa (21).png</t>
  </si>
  <si>
    <t>Outdoor Sofa - Teak Frame</t>
  </si>
  <si>
    <t>Outdoor sofa with teak frame and light cushions</t>
  </si>
  <si>
    <t>sofa (22).png</t>
  </si>
  <si>
    <t>Three-Seat Sofa - Beige 2</t>
  </si>
  <si>
    <t>Straight three-seat upholstered sofa</t>
  </si>
  <si>
    <t>sofa (23).png</t>
  </si>
  <si>
    <t>Modular Sofa with Ottoman</t>
  </si>
  <si>
    <t>Indoor modular chaise sofa with ottoman</t>
  </si>
  <si>
    <t>sofa (24).png</t>
  </si>
  <si>
    <t>Modular Conversation Sofa</t>
  </si>
  <si>
    <t>Large modular conversation sofa composition</t>
  </si>
  <si>
    <t>Mixed wood base / metal details</t>
  </si>
  <si>
    <t>Brown modular upholstery</t>
  </si>
  <si>
    <t>sofa (25).png</t>
  </si>
  <si>
    <t>Outdoor Armchair - Teak Frame</t>
  </si>
  <si>
    <t>Outdoor armchair with broad timber frame</t>
  </si>
  <si>
    <t>sofa chair (1).png</t>
  </si>
  <si>
    <t>Outdoor Box Armchair</t>
  </si>
  <si>
    <t>Outdoor armchair with box arms</t>
  </si>
  <si>
    <t>sofa chair (11).png</t>
  </si>
  <si>
    <t>Outdoor Lounge Chair - Upholstered</t>
  </si>
  <si>
    <t>Outdoor lounge chair with soft seat and back</t>
  </si>
  <si>
    <t>sofa chair (12).png</t>
  </si>
  <si>
    <t>Lounge Accent Chair</t>
  </si>
  <si>
    <t>Low accent chair with plinth base</t>
  </si>
  <si>
    <t>sofa chair (13).png</t>
  </si>
  <si>
    <t>Deep Outdoor Armchair</t>
  </si>
  <si>
    <t>Deep outdoor armchair with broad timber frame</t>
  </si>
  <si>
    <t>sofa chair (14).png</t>
  </si>
  <si>
    <t>Outdoor Armchair - Brown</t>
  </si>
  <si>
    <t>Outdoor armchair with brown upholstery</t>
  </si>
  <si>
    <t>sofa chair (16).png</t>
  </si>
  <si>
    <t>Armless Lounge Chair</t>
  </si>
  <si>
    <t>Armless dining/lounge chair with upholstered back</t>
  </si>
  <si>
    <t>Off-white fabric</t>
  </si>
  <si>
    <t>sofa chair (17).png</t>
  </si>
  <si>
    <t>Dining Armchair - Rope Panel</t>
  </si>
  <si>
    <t>Dining armchair with woven rope side/back panels</t>
  </si>
  <si>
    <t>sofa chair (3).png</t>
  </si>
  <si>
    <t>Rope Panel Armchair - Variant</t>
  </si>
  <si>
    <t>Outdoor armchair with rope side panels</t>
  </si>
  <si>
    <t>sofa chair (4).png</t>
  </si>
  <si>
    <t>Outdoor Lounge Chair - White</t>
  </si>
  <si>
    <t>Minimal outdoor lounge chair</t>
  </si>
  <si>
    <t>sofa chair (5).png</t>
  </si>
  <si>
    <t>Wide Lounge Chair</t>
  </si>
  <si>
    <t>Wide lounge chair with low base</t>
  </si>
  <si>
    <t>sofa chair (7).png</t>
  </si>
  <si>
    <t>Outdoor Armchair with Pillow</t>
  </si>
  <si>
    <t>Outdoor armchair with accent pillow</t>
  </si>
  <si>
    <t>sofa chair (8).png</t>
  </si>
  <si>
    <t>Sling Accent Chair</t>
  </si>
  <si>
    <t>Sculptural sling chair with leather seat</t>
  </si>
  <si>
    <t>Black leather</t>
  </si>
  <si>
    <t>sofa chair (9).png</t>
  </si>
  <si>
    <t>Outdoor Sunbed - Brown Upholstery</t>
  </si>
  <si>
    <t>Single adjustable outdoor sunbed with timber frame</t>
  </si>
  <si>
    <t>sunbed BN.png</t>
  </si>
  <si>
    <t>Chaise Lounge Module</t>
  </si>
  <si>
    <t>Upholstered chaise lounge module with arm</t>
  </si>
  <si>
    <t>sunbed BN2.png</t>
  </si>
  <si>
    <t>L-Shape Outdoor Sofa</t>
  </si>
  <si>
    <t>Outdoor sectional sofa with left chaise</t>
  </si>
  <si>
    <t>sunbed BN3.png</t>
  </si>
  <si>
    <t>Three-Seat Outdoor Sofa</t>
  </si>
  <si>
    <t>Straight three-seat outdoor sofa</t>
  </si>
  <si>
    <t>sunbed BN4.png</t>
  </si>
  <si>
    <t>Outdoor Lounge Chair - Brown</t>
  </si>
  <si>
    <t>Outdoor lounge chair with box frame</t>
  </si>
  <si>
    <t>sunbed BN5.png</t>
  </si>
  <si>
    <t>Sun Lounger - White Cushion</t>
  </si>
  <si>
    <t>Single outdoor sun lounger with wheel</t>
  </si>
  <si>
    <t>sunbeds (10).png</t>
  </si>
  <si>
    <t>Double Sun Lounger Set</t>
  </si>
  <si>
    <t>Pair of outdoor sun loungers</t>
  </si>
  <si>
    <t>sunbeds (11).png</t>
  </si>
  <si>
    <t>Platform Daybed Sofa</t>
  </si>
  <si>
    <t>Wide outdoor daybed with arm panel</t>
  </si>
  <si>
    <t>Teak wood / woven side panel</t>
  </si>
  <si>
    <t>sunbeds (12).png</t>
  </si>
  <si>
    <t>Sunbed - Woven Base</t>
  </si>
  <si>
    <t>Single outdoor sunbed with woven base panel</t>
  </si>
  <si>
    <t>sunbeds (13).png</t>
  </si>
  <si>
    <t>Twin Sun Lounger Pair</t>
  </si>
  <si>
    <t>Pair of adjustable sun loungers</t>
  </si>
  <si>
    <t>sunbeds (14).png</t>
  </si>
  <si>
    <t>Double Daybed Module</t>
  </si>
  <si>
    <t>Double outdoor daybed / loveseat module</t>
  </si>
  <si>
    <t>sunbeds (15).png</t>
  </si>
  <si>
    <t>Single Adjustable Lounger</t>
  </si>
  <si>
    <t>Single adjustable outdoor lounger</t>
  </si>
  <si>
    <t>sunbeds (16).png</t>
  </si>
  <si>
    <t>Rectangular Pedestal Table</t>
  </si>
  <si>
    <t>Long rectangular table with twin rounded pedestal legs</t>
  </si>
  <si>
    <t>table_05.png</t>
  </si>
  <si>
    <t>Square Pedestal Side Table</t>
  </si>
  <si>
    <t>Square side table with sculptural clustered base</t>
  </si>
  <si>
    <t>table_06.png</t>
  </si>
  <si>
    <t>Round Twin-Pedestal Table</t>
  </si>
  <si>
    <t>Round table with twin cylindrical pedestal base</t>
  </si>
  <si>
    <t>table_07.png</t>
  </si>
  <si>
    <t>Long Bench Table</t>
  </si>
  <si>
    <t>Long low table / bench with block legs</t>
  </si>
  <si>
    <t>table_12.png</t>
  </si>
  <si>
    <t>Rectangular Dining Table</t>
  </si>
  <si>
    <t>Rectangular outdoor dining table with straight legs</t>
  </si>
  <si>
    <t>table_15.png</t>
  </si>
  <si>
    <t>Round Dining Table</t>
  </si>
  <si>
    <t>Round dining table with twin pedestal base</t>
  </si>
  <si>
    <t>table_19.png</t>
  </si>
  <si>
    <t>Short Console Table</t>
  </si>
  <si>
    <t>Short rectangular low table with block legs</t>
  </si>
  <si>
    <t>table_20.png</t>
  </si>
  <si>
    <t>Weight Factor (kg/m³)</t>
  </si>
  <si>
    <t>Note</t>
  </si>
  <si>
    <t>Estimated factor for early-stage FF&amp;E logistics planning</t>
  </si>
  <si>
    <t>Notes</t>
  </si>
  <si>
    <t>All dimensions are estimated from image proportions and typical FF&amp;E sizes.</t>
  </si>
  <si>
    <t>Volume formula = Width x Depth/Length x Height / 1,000,000 (m³).</t>
  </si>
  <si>
    <t>Weight is an estimate for budgeting / shipping planning only and should be verified with supplier shop drawings.</t>
  </si>
  <si>
    <t>Teak / Teak wood</t>
  </si>
  <si>
    <t>Teak / teak wood</t>
  </si>
  <si>
    <t>Dark marble / Teak wood</t>
  </si>
  <si>
    <t>Black marble / Teak wood</t>
  </si>
  <si>
    <t>Teak base / foam core</t>
  </si>
  <si>
    <t>Teak plinth / upholstered body</t>
  </si>
  <si>
    <t>Teak wood / leather</t>
  </si>
  <si>
    <t>Solid Teak / Recicled Teak</t>
  </si>
  <si>
    <t>Teak Wenge finishing</t>
  </si>
  <si>
    <t>UMA-02</t>
  </si>
  <si>
    <t>UMA-03</t>
  </si>
  <si>
    <t>UMA-04</t>
  </si>
  <si>
    <t>UMA-05</t>
  </si>
  <si>
    <t>UMA-06</t>
  </si>
  <si>
    <t>UMA-07</t>
  </si>
  <si>
    <t>UMA-08</t>
  </si>
  <si>
    <t>UMA-09</t>
  </si>
  <si>
    <t>UMA-10</t>
  </si>
  <si>
    <t>UMA-11</t>
  </si>
  <si>
    <t>UMA-12</t>
  </si>
  <si>
    <t>UMA-13</t>
  </si>
  <si>
    <t>UMA-14</t>
  </si>
  <si>
    <t>UMA-15</t>
  </si>
  <si>
    <t>UMA-16</t>
  </si>
  <si>
    <t>UMA-17</t>
  </si>
  <si>
    <t>UMA-18</t>
  </si>
  <si>
    <t>UMA-19</t>
  </si>
  <si>
    <t>UMA-20</t>
  </si>
  <si>
    <t>UMA-21</t>
  </si>
  <si>
    <t>UMA-22</t>
  </si>
  <si>
    <t>UMA-23</t>
  </si>
  <si>
    <t>UMA-24</t>
  </si>
  <si>
    <t>UMA-25</t>
  </si>
  <si>
    <t>UMA-26</t>
  </si>
  <si>
    <t>UMA-27</t>
  </si>
  <si>
    <t>UMA-28</t>
  </si>
  <si>
    <t>UMA-29</t>
  </si>
  <si>
    <t>UMA-30</t>
  </si>
  <si>
    <t>UMA-31</t>
  </si>
  <si>
    <t>UMA-32</t>
  </si>
  <si>
    <t>UMA-33</t>
  </si>
  <si>
    <t>UMA-34</t>
  </si>
  <si>
    <t>UMA-35</t>
  </si>
  <si>
    <t>UMA-36</t>
  </si>
  <si>
    <t>UMA-37</t>
  </si>
  <si>
    <t>UMA-38</t>
  </si>
  <si>
    <t>UMA-39</t>
  </si>
  <si>
    <t>UMA-40</t>
  </si>
  <si>
    <t>UMA-41</t>
  </si>
  <si>
    <t>UMA-42</t>
  </si>
  <si>
    <t>UMA-43</t>
  </si>
  <si>
    <t>UMA-44</t>
  </si>
  <si>
    <t>UMA-45</t>
  </si>
  <si>
    <t>UMA-46</t>
  </si>
  <si>
    <t>UMA-47</t>
  </si>
  <si>
    <t>UMA-48</t>
  </si>
  <si>
    <t>UMA-49</t>
  </si>
  <si>
    <t>UMA-50</t>
  </si>
  <si>
    <t>UMA-51</t>
  </si>
  <si>
    <t>UMA-52</t>
  </si>
  <si>
    <t>UMA-53</t>
  </si>
  <si>
    <t>UMA-54</t>
  </si>
  <si>
    <t>UMA-55</t>
  </si>
  <si>
    <t>UMA-56</t>
  </si>
  <si>
    <t>UMA-57</t>
  </si>
  <si>
    <t>UMA-58</t>
  </si>
  <si>
    <t>UMA-59</t>
  </si>
  <si>
    <t>UMA-60</t>
  </si>
  <si>
    <t>UMA-61</t>
  </si>
  <si>
    <t>UMA-62</t>
  </si>
  <si>
    <t>UMA-63</t>
  </si>
  <si>
    <t>UMA-64</t>
  </si>
  <si>
    <t>UMA-65</t>
  </si>
  <si>
    <t>UMA-66</t>
  </si>
  <si>
    <t>UMA-67</t>
  </si>
  <si>
    <t>UMA-68</t>
  </si>
  <si>
    <t>UMA-69</t>
  </si>
  <si>
    <t>UMA-70</t>
  </si>
  <si>
    <t>UMA-71</t>
  </si>
  <si>
    <t>UMA-72</t>
  </si>
  <si>
    <t>UMA-73</t>
  </si>
  <si>
    <t>UMA-74</t>
  </si>
  <si>
    <t>UMA-75</t>
  </si>
  <si>
    <t>UMA-76</t>
  </si>
  <si>
    <t>UMA-77</t>
  </si>
  <si>
    <t>UMA-78</t>
  </si>
  <si>
    <t>UMA-79</t>
  </si>
  <si>
    <t>UMA-80</t>
  </si>
  <si>
    <t>UMA-81</t>
  </si>
  <si>
    <t>UMA-82</t>
  </si>
  <si>
    <t>UMA-83</t>
  </si>
  <si>
    <t>UMA-84</t>
  </si>
  <si>
    <t>UMA-85</t>
  </si>
  <si>
    <t>UMA-86</t>
  </si>
  <si>
    <t>UMA-87</t>
  </si>
  <si>
    <t>UMA-88</t>
  </si>
  <si>
    <t>UMA-89</t>
  </si>
  <si>
    <t>UMA-90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</si>
</sst>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666666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E08E70-4AD4-4DC7-99EA-547BA0961B4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39ab285-c221-42d1-99aa-06df5ba9fab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showGridLines="0" tabSelected="1" topLeftCell="E1" workbookViewId="0">
      <pane ySplit="1" topLeftCell="A2" activePane="bottomLeft" state="frozen"/>
      <selection pane="bottomLeft" sqref="A1:O1"/>
    </sheetView>
  </sheetViews>
  <sheetFormatPr defaultRowHeight="15" x14ac:dyDescent="0.25"/>
  <cols>
    <col min="1" max="1" width="28" style="4" customWidth="1"/>
    <col min="2" max="2" width="14" style="4" customWidth="1"/>
    <col min="3" max="3" width="18" style="4" customWidth="1"/>
    <col min="4" max="4" width="42" style="4" customWidth="1"/>
    <col min="5" max="5" width="12" style="4" customWidth="1"/>
    <col min="6" max="6" width="18" style="4" customWidth="1"/>
    <col min="7" max="7" width="12" style="4" customWidth="1"/>
    <col min="8" max="8" width="22" style="4" customWidth="1"/>
    <col min="9" max="9" width="26" style="4" customWidth="1"/>
    <col min="10" max="10" width="22" style="4" customWidth="1"/>
    <col min="11" max="12" width="12" style="4" customWidth="1"/>
    <col min="13" max="14" width="14" style="4" customWidth="1"/>
    <col min="15" max="15" width="22" style="4" customWidth="1"/>
    <col min="16" max="16384" width="9.140625" style="4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5" t="s">
        <v>15</v>
      </c>
      <c r="B2" s="6" t="s">
        <v>329</v>
      </c>
      <c r="C2" s="5" t="s">
        <v>16</v>
      </c>
      <c r="D2" s="5" t="s">
        <v>17</v>
      </c>
      <c r="E2" s="5">
        <v>220</v>
      </c>
      <c r="F2" s="5">
        <v>50</v>
      </c>
      <c r="G2" s="5">
        <v>72</v>
      </c>
      <c r="H2" s="7" t="str">
        <f t="shared" ref="H2:H33" si="0">TEXT(E2,"0")&amp;" x "&amp;TEXT(F2,"0")&amp;" x "&amp;TEXT(G2,"0")</f>
        <v>220 x 50 x 72</v>
      </c>
      <c r="I2" s="5" t="s">
        <v>146</v>
      </c>
      <c r="J2" s="5" t="s">
        <v>18</v>
      </c>
      <c r="K2" s="8"/>
      <c r="L2" s="9">
        <f t="shared" ref="L2:L33" si="1">ROUND((E2*F2*G2)/1000000,3)</f>
        <v>0.79200000000000004</v>
      </c>
      <c r="M2" s="10">
        <f>ROUND(L2*VLOOKUP(C2,Assumptions!$A$2:$B$10,2,FALSE),1)</f>
        <v>166.3</v>
      </c>
      <c r="N2" s="11"/>
      <c r="O2" s="12" t="s">
        <v>19</v>
      </c>
    </row>
    <row r="3" spans="1:15" ht="30" x14ac:dyDescent="0.25">
      <c r="A3" s="5" t="s">
        <v>20</v>
      </c>
      <c r="B3" s="6" t="s">
        <v>330</v>
      </c>
      <c r="C3" s="5" t="s">
        <v>21</v>
      </c>
      <c r="D3" s="5" t="s">
        <v>22</v>
      </c>
      <c r="E3" s="5">
        <v>160</v>
      </c>
      <c r="F3" s="5">
        <v>55</v>
      </c>
      <c r="G3" s="5">
        <v>38</v>
      </c>
      <c r="H3" s="7" t="str">
        <f t="shared" si="0"/>
        <v>160 x 55 x 38</v>
      </c>
      <c r="I3" s="5" t="s">
        <v>327</v>
      </c>
      <c r="J3" s="5" t="s">
        <v>18</v>
      </c>
      <c r="K3" s="8"/>
      <c r="L3" s="9">
        <f t="shared" si="1"/>
        <v>0.33400000000000002</v>
      </c>
      <c r="M3" s="10">
        <f>ROUND(L3*VLOOKUP(C3,Assumptions!$A$2:$B$10,2,FALSE),1)</f>
        <v>50.1</v>
      </c>
      <c r="N3" s="11"/>
      <c r="O3" s="12" t="s">
        <v>23</v>
      </c>
    </row>
    <row r="4" spans="1:15" ht="30" x14ac:dyDescent="0.25">
      <c r="A4" s="5" t="s">
        <v>24</v>
      </c>
      <c r="B4" s="6" t="s">
        <v>331</v>
      </c>
      <c r="C4" s="5" t="s">
        <v>16</v>
      </c>
      <c r="D4" s="5" t="s">
        <v>25</v>
      </c>
      <c r="E4" s="5">
        <v>210</v>
      </c>
      <c r="F4" s="5">
        <v>52</v>
      </c>
      <c r="G4" s="5">
        <v>74</v>
      </c>
      <c r="H4" s="7" t="str">
        <f t="shared" si="0"/>
        <v>210 x 52 x 74</v>
      </c>
      <c r="I4" s="5" t="s">
        <v>146</v>
      </c>
      <c r="J4" s="5" t="s">
        <v>18</v>
      </c>
      <c r="K4" s="8"/>
      <c r="L4" s="9">
        <f t="shared" si="1"/>
        <v>0.80800000000000005</v>
      </c>
      <c r="M4" s="10">
        <f>ROUND(L4*VLOOKUP(C4,Assumptions!$A$2:$B$10,2,FALSE),1)</f>
        <v>169.7</v>
      </c>
      <c r="N4" s="11"/>
      <c r="O4" s="12" t="s">
        <v>26</v>
      </c>
    </row>
    <row r="5" spans="1:15" ht="30" x14ac:dyDescent="0.25">
      <c r="A5" s="5" t="s">
        <v>27</v>
      </c>
      <c r="B5" s="6" t="s">
        <v>332</v>
      </c>
      <c r="C5" s="5" t="s">
        <v>21</v>
      </c>
      <c r="D5" s="5" t="s">
        <v>28</v>
      </c>
      <c r="E5" s="5">
        <v>180</v>
      </c>
      <c r="F5" s="5">
        <v>45</v>
      </c>
      <c r="G5" s="5">
        <v>40</v>
      </c>
      <c r="H5" s="7" t="str">
        <f t="shared" si="0"/>
        <v>180 x 45 x 40</v>
      </c>
      <c r="I5" s="5" t="s">
        <v>327</v>
      </c>
      <c r="J5" s="5" t="s">
        <v>18</v>
      </c>
      <c r="K5" s="8"/>
      <c r="L5" s="9">
        <f t="shared" si="1"/>
        <v>0.32400000000000001</v>
      </c>
      <c r="M5" s="10">
        <f>ROUND(L5*VLOOKUP(C5,Assumptions!$A$2:$B$10,2,FALSE),1)</f>
        <v>48.6</v>
      </c>
      <c r="N5" s="11"/>
      <c r="O5" s="12" t="s">
        <v>29</v>
      </c>
    </row>
    <row r="6" spans="1:15" ht="30" x14ac:dyDescent="0.25">
      <c r="A6" s="5" t="s">
        <v>30</v>
      </c>
      <c r="B6" s="6" t="s">
        <v>333</v>
      </c>
      <c r="C6" s="5" t="s">
        <v>16</v>
      </c>
      <c r="D6" s="5" t="s">
        <v>31</v>
      </c>
      <c r="E6" s="5">
        <v>220</v>
      </c>
      <c r="F6" s="5">
        <v>50</v>
      </c>
      <c r="G6" s="5">
        <v>70</v>
      </c>
      <c r="H6" s="7" t="str">
        <f t="shared" si="0"/>
        <v>220 x 50 x 70</v>
      </c>
      <c r="I6" s="5" t="s">
        <v>32</v>
      </c>
      <c r="J6" s="5" t="s">
        <v>18</v>
      </c>
      <c r="K6" s="8"/>
      <c r="L6" s="9">
        <f t="shared" si="1"/>
        <v>0.77</v>
      </c>
      <c r="M6" s="10">
        <f>ROUND(L6*VLOOKUP(C6,Assumptions!$A$2:$B$10,2,FALSE),1)</f>
        <v>161.69999999999999</v>
      </c>
      <c r="N6" s="11"/>
      <c r="O6" s="12" t="s">
        <v>33</v>
      </c>
    </row>
    <row r="7" spans="1:15" x14ac:dyDescent="0.25">
      <c r="A7" s="5" t="s">
        <v>34</v>
      </c>
      <c r="B7" s="6" t="s">
        <v>334</v>
      </c>
      <c r="C7" s="5" t="s">
        <v>16</v>
      </c>
      <c r="D7" s="5" t="s">
        <v>35</v>
      </c>
      <c r="E7" s="5">
        <v>240</v>
      </c>
      <c r="F7" s="5">
        <v>50</v>
      </c>
      <c r="G7" s="5">
        <v>78</v>
      </c>
      <c r="H7" s="7" t="str">
        <f t="shared" si="0"/>
        <v>240 x 50 x 78</v>
      </c>
      <c r="I7" s="5" t="s">
        <v>146</v>
      </c>
      <c r="J7" s="5" t="s">
        <v>18</v>
      </c>
      <c r="K7" s="8"/>
      <c r="L7" s="9">
        <f t="shared" si="1"/>
        <v>0.93600000000000005</v>
      </c>
      <c r="M7" s="10">
        <f>ROUND(L7*VLOOKUP(C7,Assumptions!$A$2:$B$10,2,FALSE),1)</f>
        <v>196.6</v>
      </c>
      <c r="N7" s="11"/>
      <c r="O7" s="12" t="s">
        <v>36</v>
      </c>
    </row>
    <row r="8" spans="1:15" ht="30" x14ac:dyDescent="0.25">
      <c r="A8" s="5" t="s">
        <v>37</v>
      </c>
      <c r="B8" s="6" t="s">
        <v>335</v>
      </c>
      <c r="C8" s="5" t="s">
        <v>21</v>
      </c>
      <c r="D8" s="5" t="s">
        <v>38</v>
      </c>
      <c r="E8" s="5">
        <v>165</v>
      </c>
      <c r="F8" s="5">
        <v>50</v>
      </c>
      <c r="G8" s="5">
        <v>36</v>
      </c>
      <c r="H8" s="7" t="str">
        <f t="shared" si="0"/>
        <v>165 x 50 x 36</v>
      </c>
      <c r="I8" s="5" t="s">
        <v>327</v>
      </c>
      <c r="J8" s="5" t="s">
        <v>18</v>
      </c>
      <c r="K8" s="8"/>
      <c r="L8" s="9">
        <f t="shared" si="1"/>
        <v>0.29699999999999999</v>
      </c>
      <c r="M8" s="10">
        <f>ROUND(L8*VLOOKUP(C8,Assumptions!$A$2:$B$10,2,FALSE),1)</f>
        <v>44.6</v>
      </c>
      <c r="N8" s="11"/>
      <c r="O8" s="12" t="s">
        <v>39</v>
      </c>
    </row>
    <row r="9" spans="1:15" ht="30" x14ac:dyDescent="0.25">
      <c r="A9" s="5" t="s">
        <v>40</v>
      </c>
      <c r="B9" s="6" t="s">
        <v>336</v>
      </c>
      <c r="C9" s="5" t="s">
        <v>41</v>
      </c>
      <c r="D9" s="5" t="s">
        <v>42</v>
      </c>
      <c r="E9" s="5">
        <v>78</v>
      </c>
      <c r="F9" s="5">
        <v>82</v>
      </c>
      <c r="G9" s="5">
        <v>78</v>
      </c>
      <c r="H9" s="7" t="str">
        <f t="shared" si="0"/>
        <v>78 x 82 x 78</v>
      </c>
      <c r="I9" s="5" t="s">
        <v>320</v>
      </c>
      <c r="J9" s="5" t="s">
        <v>43</v>
      </c>
      <c r="K9" s="8"/>
      <c r="L9" s="9">
        <f t="shared" si="1"/>
        <v>0.499</v>
      </c>
      <c r="M9" s="10">
        <f>ROUND(L9*VLOOKUP(C9,Assumptions!$A$2:$B$10,2,FALSE),1)</f>
        <v>47.4</v>
      </c>
      <c r="N9" s="11"/>
      <c r="O9" s="12" t="s">
        <v>44</v>
      </c>
    </row>
    <row r="10" spans="1:15" ht="30" x14ac:dyDescent="0.25">
      <c r="A10" s="5" t="s">
        <v>45</v>
      </c>
      <c r="B10" s="6" t="s">
        <v>337</v>
      </c>
      <c r="C10" s="5" t="s">
        <v>46</v>
      </c>
      <c r="D10" s="5" t="s">
        <v>47</v>
      </c>
      <c r="E10" s="5">
        <v>52</v>
      </c>
      <c r="F10" s="5">
        <v>58</v>
      </c>
      <c r="G10" s="5">
        <v>82</v>
      </c>
      <c r="H10" s="7" t="str">
        <f t="shared" si="0"/>
        <v>52 x 58 x 82</v>
      </c>
      <c r="I10" s="5" t="s">
        <v>321</v>
      </c>
      <c r="J10" s="5" t="s">
        <v>43</v>
      </c>
      <c r="K10" s="8"/>
      <c r="L10" s="9">
        <f t="shared" si="1"/>
        <v>0.247</v>
      </c>
      <c r="M10" s="10">
        <f>ROUND(L10*VLOOKUP(C10,Assumptions!$A$2:$B$10,2,FALSE),1)</f>
        <v>28.4</v>
      </c>
      <c r="N10" s="11"/>
      <c r="O10" s="12" t="s">
        <v>48</v>
      </c>
    </row>
    <row r="11" spans="1:15" ht="30" x14ac:dyDescent="0.25">
      <c r="A11" s="5" t="s">
        <v>49</v>
      </c>
      <c r="B11" s="6" t="s">
        <v>338</v>
      </c>
      <c r="C11" s="5" t="s">
        <v>41</v>
      </c>
      <c r="D11" s="5" t="s">
        <v>50</v>
      </c>
      <c r="E11" s="5">
        <v>82</v>
      </c>
      <c r="F11" s="5">
        <v>88</v>
      </c>
      <c r="G11" s="5">
        <v>78</v>
      </c>
      <c r="H11" s="7" t="str">
        <f t="shared" si="0"/>
        <v>82 x 88 x 78</v>
      </c>
      <c r="I11" s="5" t="s">
        <v>321</v>
      </c>
      <c r="J11" s="5" t="s">
        <v>51</v>
      </c>
      <c r="K11" s="8"/>
      <c r="L11" s="9">
        <f t="shared" si="1"/>
        <v>0.56299999999999994</v>
      </c>
      <c r="M11" s="10">
        <f>ROUND(L11*VLOOKUP(C11,Assumptions!$A$2:$B$10,2,FALSE),1)</f>
        <v>53.5</v>
      </c>
      <c r="N11" s="11"/>
      <c r="O11" s="12" t="s">
        <v>52</v>
      </c>
    </row>
    <row r="12" spans="1:15" ht="30" x14ac:dyDescent="0.25">
      <c r="A12" s="5" t="s">
        <v>53</v>
      </c>
      <c r="B12" s="6" t="s">
        <v>339</v>
      </c>
      <c r="C12" s="5" t="s">
        <v>46</v>
      </c>
      <c r="D12" s="5" t="s">
        <v>54</v>
      </c>
      <c r="E12" s="5">
        <v>50</v>
      </c>
      <c r="F12" s="5">
        <v>56</v>
      </c>
      <c r="G12" s="5">
        <v>82</v>
      </c>
      <c r="H12" s="7" t="str">
        <f t="shared" si="0"/>
        <v>50 x 56 x 82</v>
      </c>
      <c r="I12" s="5" t="s">
        <v>321</v>
      </c>
      <c r="J12" s="5" t="s">
        <v>43</v>
      </c>
      <c r="K12" s="8"/>
      <c r="L12" s="9">
        <f t="shared" si="1"/>
        <v>0.23</v>
      </c>
      <c r="M12" s="10">
        <f>ROUND(L12*VLOOKUP(C12,Assumptions!$A$2:$B$10,2,FALSE),1)</f>
        <v>26.5</v>
      </c>
      <c r="N12" s="11"/>
      <c r="O12" s="12" t="s">
        <v>55</v>
      </c>
    </row>
    <row r="13" spans="1:15" ht="30" x14ac:dyDescent="0.25">
      <c r="A13" s="5" t="s">
        <v>56</v>
      </c>
      <c r="B13" s="6" t="s">
        <v>340</v>
      </c>
      <c r="C13" s="5" t="s">
        <v>46</v>
      </c>
      <c r="D13" s="5" t="s">
        <v>57</v>
      </c>
      <c r="E13" s="5">
        <v>58</v>
      </c>
      <c r="F13" s="5">
        <v>60</v>
      </c>
      <c r="G13" s="5">
        <v>83</v>
      </c>
      <c r="H13" s="7" t="str">
        <f t="shared" si="0"/>
        <v>58 x 60 x 83</v>
      </c>
      <c r="I13" s="5" t="s">
        <v>321</v>
      </c>
      <c r="J13" s="5" t="s">
        <v>43</v>
      </c>
      <c r="K13" s="8"/>
      <c r="L13" s="9">
        <f t="shared" si="1"/>
        <v>0.28899999999999998</v>
      </c>
      <c r="M13" s="10">
        <f>ROUND(L13*VLOOKUP(C13,Assumptions!$A$2:$B$10,2,FALSE),1)</f>
        <v>33.200000000000003</v>
      </c>
      <c r="N13" s="11"/>
      <c r="O13" s="12" t="s">
        <v>58</v>
      </c>
    </row>
    <row r="14" spans="1:15" x14ac:dyDescent="0.25">
      <c r="A14" s="5" t="s">
        <v>59</v>
      </c>
      <c r="B14" s="6" t="s">
        <v>341</v>
      </c>
      <c r="C14" s="5" t="s">
        <v>46</v>
      </c>
      <c r="D14" s="5" t="s">
        <v>60</v>
      </c>
      <c r="E14" s="5">
        <v>48</v>
      </c>
      <c r="F14" s="5">
        <v>56</v>
      </c>
      <c r="G14" s="5">
        <v>85</v>
      </c>
      <c r="H14" s="7" t="str">
        <f t="shared" si="0"/>
        <v>48 x 56 x 85</v>
      </c>
      <c r="I14" s="5" t="s">
        <v>321</v>
      </c>
      <c r="J14" s="5" t="s">
        <v>43</v>
      </c>
      <c r="K14" s="8"/>
      <c r="L14" s="9">
        <f t="shared" si="1"/>
        <v>0.22800000000000001</v>
      </c>
      <c r="M14" s="10">
        <f>ROUND(L14*VLOOKUP(C14,Assumptions!$A$2:$B$10,2,FALSE),1)</f>
        <v>26.2</v>
      </c>
      <c r="N14" s="11"/>
      <c r="O14" s="12" t="s">
        <v>61</v>
      </c>
    </row>
    <row r="15" spans="1:15" ht="30" x14ac:dyDescent="0.25">
      <c r="A15" s="5" t="s">
        <v>62</v>
      </c>
      <c r="B15" s="6" t="s">
        <v>342</v>
      </c>
      <c r="C15" s="5" t="s">
        <v>46</v>
      </c>
      <c r="D15" s="5" t="s">
        <v>63</v>
      </c>
      <c r="E15" s="5">
        <v>57</v>
      </c>
      <c r="F15" s="5">
        <v>58</v>
      </c>
      <c r="G15" s="5">
        <v>80</v>
      </c>
      <c r="H15" s="7" t="str">
        <f t="shared" si="0"/>
        <v>57 x 58 x 80</v>
      </c>
      <c r="I15" s="5" t="s">
        <v>321</v>
      </c>
      <c r="J15" s="5" t="s">
        <v>18</v>
      </c>
      <c r="K15" s="8"/>
      <c r="L15" s="9">
        <f t="shared" si="1"/>
        <v>0.26400000000000001</v>
      </c>
      <c r="M15" s="10">
        <f>ROUND(L15*VLOOKUP(C15,Assumptions!$A$2:$B$10,2,FALSE),1)</f>
        <v>30.4</v>
      </c>
      <c r="N15" s="11"/>
      <c r="O15" s="12" t="s">
        <v>64</v>
      </c>
    </row>
    <row r="16" spans="1:15" ht="30" x14ac:dyDescent="0.25">
      <c r="A16" s="5" t="s">
        <v>65</v>
      </c>
      <c r="B16" s="6" t="s">
        <v>343</v>
      </c>
      <c r="C16" s="5" t="s">
        <v>41</v>
      </c>
      <c r="D16" s="5" t="s">
        <v>66</v>
      </c>
      <c r="E16" s="5">
        <v>80</v>
      </c>
      <c r="F16" s="5">
        <v>85</v>
      </c>
      <c r="G16" s="5">
        <v>78</v>
      </c>
      <c r="H16" s="7" t="str">
        <f t="shared" si="0"/>
        <v>80 x 85 x 78</v>
      </c>
      <c r="I16" s="5" t="s">
        <v>321</v>
      </c>
      <c r="J16" s="5" t="s">
        <v>43</v>
      </c>
      <c r="K16" s="8"/>
      <c r="L16" s="9">
        <f t="shared" si="1"/>
        <v>0.53</v>
      </c>
      <c r="M16" s="10">
        <f>ROUND(L16*VLOOKUP(C16,Assumptions!$A$2:$B$10,2,FALSE),1)</f>
        <v>50.4</v>
      </c>
      <c r="N16" s="11"/>
      <c r="O16" s="12" t="s">
        <v>67</v>
      </c>
    </row>
    <row r="17" spans="1:15" x14ac:dyDescent="0.25">
      <c r="A17" s="5" t="s">
        <v>68</v>
      </c>
      <c r="B17" s="6" t="s">
        <v>344</v>
      </c>
      <c r="C17" s="5" t="s">
        <v>41</v>
      </c>
      <c r="D17" s="5" t="s">
        <v>69</v>
      </c>
      <c r="E17" s="5">
        <v>82</v>
      </c>
      <c r="F17" s="5">
        <v>86</v>
      </c>
      <c r="G17" s="5">
        <v>78</v>
      </c>
      <c r="H17" s="7" t="str">
        <f t="shared" si="0"/>
        <v>82 x 86 x 78</v>
      </c>
      <c r="I17" s="5" t="s">
        <v>70</v>
      </c>
      <c r="J17" s="5" t="s">
        <v>43</v>
      </c>
      <c r="K17" s="8"/>
      <c r="L17" s="9">
        <f t="shared" si="1"/>
        <v>0.55000000000000004</v>
      </c>
      <c r="M17" s="10">
        <f>ROUND(L17*VLOOKUP(C17,Assumptions!$A$2:$B$10,2,FALSE),1)</f>
        <v>52.3</v>
      </c>
      <c r="N17" s="11"/>
      <c r="O17" s="12" t="s">
        <v>71</v>
      </c>
    </row>
    <row r="18" spans="1:15" ht="30" x14ac:dyDescent="0.25">
      <c r="A18" s="5" t="s">
        <v>72</v>
      </c>
      <c r="B18" s="6" t="s">
        <v>345</v>
      </c>
      <c r="C18" s="5" t="s">
        <v>46</v>
      </c>
      <c r="D18" s="5" t="s">
        <v>73</v>
      </c>
      <c r="E18" s="5">
        <v>58</v>
      </c>
      <c r="F18" s="5">
        <v>60</v>
      </c>
      <c r="G18" s="5">
        <v>82</v>
      </c>
      <c r="H18" s="7" t="str">
        <f t="shared" si="0"/>
        <v>58 x 60 x 82</v>
      </c>
      <c r="I18" s="5" t="s">
        <v>74</v>
      </c>
      <c r="J18" s="5" t="s">
        <v>75</v>
      </c>
      <c r="K18" s="8"/>
      <c r="L18" s="9">
        <f t="shared" si="1"/>
        <v>0.28499999999999998</v>
      </c>
      <c r="M18" s="10">
        <f>ROUND(L18*VLOOKUP(C18,Assumptions!$A$2:$B$10,2,FALSE),1)</f>
        <v>32.799999999999997</v>
      </c>
      <c r="N18" s="11"/>
      <c r="O18" s="12" t="s">
        <v>76</v>
      </c>
    </row>
    <row r="19" spans="1:15" ht="30" x14ac:dyDescent="0.25">
      <c r="A19" s="5" t="s">
        <v>77</v>
      </c>
      <c r="B19" s="6" t="s">
        <v>346</v>
      </c>
      <c r="C19" s="5" t="s">
        <v>46</v>
      </c>
      <c r="D19" s="5" t="s">
        <v>78</v>
      </c>
      <c r="E19" s="5">
        <v>50</v>
      </c>
      <c r="F19" s="5">
        <v>56</v>
      </c>
      <c r="G19" s="5">
        <v>85</v>
      </c>
      <c r="H19" s="7" t="str">
        <f t="shared" si="0"/>
        <v>50 x 56 x 85</v>
      </c>
      <c r="I19" s="5" t="s">
        <v>321</v>
      </c>
      <c r="J19" s="5" t="s">
        <v>43</v>
      </c>
      <c r="K19" s="8"/>
      <c r="L19" s="9">
        <f t="shared" si="1"/>
        <v>0.23799999999999999</v>
      </c>
      <c r="M19" s="10">
        <f>ROUND(L19*VLOOKUP(C19,Assumptions!$A$2:$B$10,2,FALSE),1)</f>
        <v>27.4</v>
      </c>
      <c r="N19" s="11"/>
      <c r="O19" s="12" t="s">
        <v>79</v>
      </c>
    </row>
    <row r="20" spans="1:15" ht="30" x14ac:dyDescent="0.25">
      <c r="A20" s="5" t="s">
        <v>80</v>
      </c>
      <c r="B20" s="6" t="s">
        <v>347</v>
      </c>
      <c r="C20" s="5" t="s">
        <v>81</v>
      </c>
      <c r="D20" s="5" t="s">
        <v>82</v>
      </c>
      <c r="E20" s="5">
        <v>55</v>
      </c>
      <c r="F20" s="5">
        <v>55</v>
      </c>
      <c r="G20" s="5">
        <v>50</v>
      </c>
      <c r="H20" s="7" t="str">
        <f t="shared" si="0"/>
        <v>55 x 55 x 50</v>
      </c>
      <c r="I20" s="5" t="s">
        <v>322</v>
      </c>
      <c r="J20" s="5" t="s">
        <v>18</v>
      </c>
      <c r="K20" s="8"/>
      <c r="L20" s="9">
        <f t="shared" si="1"/>
        <v>0.151</v>
      </c>
      <c r="M20" s="10">
        <f>ROUND(L20*VLOOKUP(C20,Assumptions!$A$2:$B$10,2,FALSE),1)</f>
        <v>19.600000000000001</v>
      </c>
      <c r="N20" s="11"/>
      <c r="O20" s="12" t="s">
        <v>83</v>
      </c>
    </row>
    <row r="21" spans="1:15" ht="30" x14ac:dyDescent="0.25">
      <c r="A21" s="5" t="s">
        <v>84</v>
      </c>
      <c r="B21" s="6" t="s">
        <v>348</v>
      </c>
      <c r="C21" s="5" t="s">
        <v>81</v>
      </c>
      <c r="D21" s="5" t="s">
        <v>85</v>
      </c>
      <c r="E21" s="5">
        <v>55</v>
      </c>
      <c r="F21" s="5">
        <v>55</v>
      </c>
      <c r="G21" s="5">
        <v>52</v>
      </c>
      <c r="H21" s="7" t="str">
        <f t="shared" si="0"/>
        <v>55 x 55 x 52</v>
      </c>
      <c r="I21" s="5" t="s">
        <v>328</v>
      </c>
      <c r="J21" s="5" t="s">
        <v>18</v>
      </c>
      <c r="K21" s="8"/>
      <c r="L21" s="9">
        <f t="shared" si="1"/>
        <v>0.157</v>
      </c>
      <c r="M21" s="10">
        <f>ROUND(L21*VLOOKUP(C21,Assumptions!$A$2:$B$10,2,FALSE),1)</f>
        <v>20.399999999999999</v>
      </c>
      <c r="N21" s="11"/>
      <c r="O21" s="12" t="s">
        <v>86</v>
      </c>
    </row>
    <row r="22" spans="1:15" ht="30" x14ac:dyDescent="0.25">
      <c r="A22" s="5" t="s">
        <v>87</v>
      </c>
      <c r="B22" s="6" t="s">
        <v>349</v>
      </c>
      <c r="C22" s="5" t="s">
        <v>81</v>
      </c>
      <c r="D22" s="5" t="s">
        <v>88</v>
      </c>
      <c r="E22" s="5">
        <v>55</v>
      </c>
      <c r="F22" s="5">
        <v>55</v>
      </c>
      <c r="G22" s="5">
        <v>50</v>
      </c>
      <c r="H22" s="7" t="str">
        <f t="shared" si="0"/>
        <v>55 x 55 x 50</v>
      </c>
      <c r="I22" s="5" t="s">
        <v>328</v>
      </c>
      <c r="J22" s="5" t="s">
        <v>18</v>
      </c>
      <c r="K22" s="8"/>
      <c r="L22" s="9">
        <f t="shared" si="1"/>
        <v>0.151</v>
      </c>
      <c r="M22" s="10">
        <f>ROUND(L22*VLOOKUP(C22,Assumptions!$A$2:$B$10,2,FALSE),1)</f>
        <v>19.600000000000001</v>
      </c>
      <c r="N22" s="11"/>
      <c r="O22" s="12" t="s">
        <v>89</v>
      </c>
    </row>
    <row r="23" spans="1:15" ht="30" x14ac:dyDescent="0.25">
      <c r="A23" s="5" t="s">
        <v>90</v>
      </c>
      <c r="B23" s="6" t="s">
        <v>350</v>
      </c>
      <c r="C23" s="5" t="s">
        <v>81</v>
      </c>
      <c r="D23" s="5" t="s">
        <v>91</v>
      </c>
      <c r="E23" s="5">
        <v>60</v>
      </c>
      <c r="F23" s="5">
        <v>60</v>
      </c>
      <c r="G23" s="5">
        <v>48</v>
      </c>
      <c r="H23" s="7" t="str">
        <f t="shared" si="0"/>
        <v>60 x 60 x 48</v>
      </c>
      <c r="I23" s="5" t="s">
        <v>322</v>
      </c>
      <c r="J23" s="5" t="s">
        <v>18</v>
      </c>
      <c r="K23" s="8"/>
      <c r="L23" s="9">
        <f t="shared" si="1"/>
        <v>0.17299999999999999</v>
      </c>
      <c r="M23" s="10">
        <f>ROUND(L23*VLOOKUP(C23,Assumptions!$A$2:$B$10,2,FALSE),1)</f>
        <v>22.5</v>
      </c>
      <c r="N23" s="11"/>
      <c r="O23" s="12" t="s">
        <v>92</v>
      </c>
    </row>
    <row r="24" spans="1:15" ht="30" x14ac:dyDescent="0.25">
      <c r="A24" s="5" t="s">
        <v>93</v>
      </c>
      <c r="B24" s="6" t="s">
        <v>351</v>
      </c>
      <c r="C24" s="5" t="s">
        <v>81</v>
      </c>
      <c r="D24" s="5" t="s">
        <v>94</v>
      </c>
      <c r="E24" s="5">
        <v>50</v>
      </c>
      <c r="F24" s="5">
        <v>50</v>
      </c>
      <c r="G24" s="5">
        <v>48</v>
      </c>
      <c r="H24" s="7" t="str">
        <f t="shared" si="0"/>
        <v>50 x 50 x 48</v>
      </c>
      <c r="I24" s="5" t="s">
        <v>146</v>
      </c>
      <c r="J24" s="5" t="s">
        <v>18</v>
      </c>
      <c r="K24" s="8"/>
      <c r="L24" s="9">
        <f t="shared" si="1"/>
        <v>0.12</v>
      </c>
      <c r="M24" s="10">
        <f>ROUND(L24*VLOOKUP(C24,Assumptions!$A$2:$B$10,2,FALSE),1)</f>
        <v>15.6</v>
      </c>
      <c r="N24" s="11"/>
      <c r="O24" s="12" t="s">
        <v>95</v>
      </c>
    </row>
    <row r="25" spans="1:15" ht="30" x14ac:dyDescent="0.25">
      <c r="A25" s="5" t="s">
        <v>96</v>
      </c>
      <c r="B25" s="6" t="s">
        <v>352</v>
      </c>
      <c r="C25" s="5" t="s">
        <v>81</v>
      </c>
      <c r="D25" s="5" t="s">
        <v>97</v>
      </c>
      <c r="E25" s="5">
        <v>50</v>
      </c>
      <c r="F25" s="5">
        <v>50</v>
      </c>
      <c r="G25" s="5">
        <v>46</v>
      </c>
      <c r="H25" s="7" t="str">
        <f t="shared" si="0"/>
        <v>50 x 50 x 46</v>
      </c>
      <c r="I25" s="5" t="s">
        <v>146</v>
      </c>
      <c r="J25" s="5" t="s">
        <v>18</v>
      </c>
      <c r="K25" s="8"/>
      <c r="L25" s="9">
        <f t="shared" si="1"/>
        <v>0.115</v>
      </c>
      <c r="M25" s="10">
        <f>ROUND(L25*VLOOKUP(C25,Assumptions!$A$2:$B$10,2,FALSE),1)</f>
        <v>15</v>
      </c>
      <c r="N25" s="11"/>
      <c r="O25" s="12" t="s">
        <v>98</v>
      </c>
    </row>
    <row r="26" spans="1:15" x14ac:dyDescent="0.25">
      <c r="A26" s="5" t="s">
        <v>99</v>
      </c>
      <c r="B26" s="6" t="s">
        <v>353</v>
      </c>
      <c r="C26" s="5" t="s">
        <v>21</v>
      </c>
      <c r="D26" s="5" t="s">
        <v>100</v>
      </c>
      <c r="E26" s="5">
        <v>160</v>
      </c>
      <c r="F26" s="5">
        <v>45</v>
      </c>
      <c r="G26" s="5">
        <v>36</v>
      </c>
      <c r="H26" s="7" t="str">
        <f t="shared" si="0"/>
        <v>160 x 45 x 36</v>
      </c>
      <c r="I26" s="5" t="s">
        <v>101</v>
      </c>
      <c r="J26" s="5" t="s">
        <v>18</v>
      </c>
      <c r="K26" s="8"/>
      <c r="L26" s="9">
        <f t="shared" si="1"/>
        <v>0.25900000000000001</v>
      </c>
      <c r="M26" s="10">
        <f>ROUND(L26*VLOOKUP(C26,Assumptions!$A$2:$B$10,2,FALSE),1)</f>
        <v>38.9</v>
      </c>
      <c r="N26" s="11"/>
      <c r="O26" s="12" t="s">
        <v>102</v>
      </c>
    </row>
    <row r="27" spans="1:15" x14ac:dyDescent="0.25">
      <c r="A27" s="5" t="s">
        <v>103</v>
      </c>
      <c r="B27" s="6" t="s">
        <v>354</v>
      </c>
      <c r="C27" s="5" t="s">
        <v>81</v>
      </c>
      <c r="D27" s="5" t="s">
        <v>104</v>
      </c>
      <c r="E27" s="5">
        <v>70</v>
      </c>
      <c r="F27" s="5">
        <v>70</v>
      </c>
      <c r="G27" s="5">
        <v>50</v>
      </c>
      <c r="H27" s="7" t="str">
        <f t="shared" si="0"/>
        <v>70 x 70 x 50</v>
      </c>
      <c r="I27" s="5" t="s">
        <v>146</v>
      </c>
      <c r="J27" s="5" t="s">
        <v>18</v>
      </c>
      <c r="K27" s="8"/>
      <c r="L27" s="9">
        <f t="shared" si="1"/>
        <v>0.245</v>
      </c>
      <c r="M27" s="10">
        <f>ROUND(L27*VLOOKUP(C27,Assumptions!$A$2:$B$10,2,FALSE),1)</f>
        <v>31.9</v>
      </c>
      <c r="N27" s="11"/>
      <c r="O27" s="12" t="s">
        <v>105</v>
      </c>
    </row>
    <row r="28" spans="1:15" ht="30" x14ac:dyDescent="0.25">
      <c r="A28" s="5" t="s">
        <v>106</v>
      </c>
      <c r="B28" s="6" t="s">
        <v>355</v>
      </c>
      <c r="C28" s="5" t="s">
        <v>21</v>
      </c>
      <c r="D28" s="5" t="s">
        <v>107</v>
      </c>
      <c r="E28" s="5">
        <v>110</v>
      </c>
      <c r="F28" s="5">
        <v>110</v>
      </c>
      <c r="G28" s="5">
        <v>38</v>
      </c>
      <c r="H28" s="7" t="str">
        <f t="shared" si="0"/>
        <v>110 x 110 x 38</v>
      </c>
      <c r="I28" s="5" t="s">
        <v>146</v>
      </c>
      <c r="J28" s="5" t="s">
        <v>18</v>
      </c>
      <c r="K28" s="8"/>
      <c r="L28" s="9">
        <f t="shared" si="1"/>
        <v>0.46</v>
      </c>
      <c r="M28" s="10">
        <f>ROUND(L28*VLOOKUP(C28,Assumptions!$A$2:$B$10,2,FALSE),1)</f>
        <v>69</v>
      </c>
      <c r="N28" s="11"/>
      <c r="O28" s="12" t="s">
        <v>108</v>
      </c>
    </row>
    <row r="29" spans="1:15" ht="30" x14ac:dyDescent="0.25">
      <c r="A29" s="5" t="s">
        <v>109</v>
      </c>
      <c r="B29" s="6" t="s">
        <v>356</v>
      </c>
      <c r="C29" s="5" t="s">
        <v>21</v>
      </c>
      <c r="D29" s="5" t="s">
        <v>110</v>
      </c>
      <c r="E29" s="5">
        <v>100</v>
      </c>
      <c r="F29" s="5">
        <v>100</v>
      </c>
      <c r="G29" s="5">
        <v>36</v>
      </c>
      <c r="H29" s="7" t="str">
        <f t="shared" si="0"/>
        <v>100 x 100 x 36</v>
      </c>
      <c r="I29" s="5" t="s">
        <v>146</v>
      </c>
      <c r="J29" s="5" t="s">
        <v>18</v>
      </c>
      <c r="K29" s="8"/>
      <c r="L29" s="9">
        <f t="shared" si="1"/>
        <v>0.36</v>
      </c>
      <c r="M29" s="10">
        <f>ROUND(L29*VLOOKUP(C29,Assumptions!$A$2:$B$10,2,FALSE),1)</f>
        <v>54</v>
      </c>
      <c r="N29" s="11"/>
      <c r="O29" s="12" t="s">
        <v>111</v>
      </c>
    </row>
    <row r="30" spans="1:15" ht="30" x14ac:dyDescent="0.25">
      <c r="A30" s="5" t="s">
        <v>112</v>
      </c>
      <c r="B30" s="6" t="s">
        <v>357</v>
      </c>
      <c r="C30" s="5" t="s">
        <v>81</v>
      </c>
      <c r="D30" s="5" t="s">
        <v>113</v>
      </c>
      <c r="E30" s="5">
        <v>55</v>
      </c>
      <c r="F30" s="5">
        <v>55</v>
      </c>
      <c r="G30" s="5">
        <v>50</v>
      </c>
      <c r="H30" s="7" t="str">
        <f t="shared" si="0"/>
        <v>55 x 55 x 50</v>
      </c>
      <c r="I30" s="5" t="s">
        <v>323</v>
      </c>
      <c r="J30" s="5" t="s">
        <v>18</v>
      </c>
      <c r="K30" s="8"/>
      <c r="L30" s="9">
        <f t="shared" si="1"/>
        <v>0.151</v>
      </c>
      <c r="M30" s="10">
        <f>ROUND(L30*VLOOKUP(C30,Assumptions!$A$2:$B$10,2,FALSE),1)</f>
        <v>19.600000000000001</v>
      </c>
      <c r="N30" s="11"/>
      <c r="O30" s="12" t="s">
        <v>114</v>
      </c>
    </row>
    <row r="31" spans="1:15" x14ac:dyDescent="0.25">
      <c r="A31" s="5" t="s">
        <v>115</v>
      </c>
      <c r="B31" s="6" t="s">
        <v>358</v>
      </c>
      <c r="C31" s="5" t="s">
        <v>81</v>
      </c>
      <c r="D31" s="5" t="s">
        <v>116</v>
      </c>
      <c r="E31" s="5">
        <v>70</v>
      </c>
      <c r="F31" s="5">
        <v>70</v>
      </c>
      <c r="G31" s="5">
        <v>38</v>
      </c>
      <c r="H31" s="7" t="str">
        <f t="shared" si="0"/>
        <v>70 x 70 x 38</v>
      </c>
      <c r="I31" s="5" t="s">
        <v>117</v>
      </c>
      <c r="J31" s="5" t="s">
        <v>118</v>
      </c>
      <c r="K31" s="8"/>
      <c r="L31" s="9">
        <f t="shared" si="1"/>
        <v>0.186</v>
      </c>
      <c r="M31" s="10">
        <f>ROUND(L31*VLOOKUP(C31,Assumptions!$A$2:$B$10,2,FALSE),1)</f>
        <v>24.2</v>
      </c>
      <c r="N31" s="11"/>
      <c r="O31" s="12" t="s">
        <v>119</v>
      </c>
    </row>
    <row r="32" spans="1:15" ht="30" x14ac:dyDescent="0.25">
      <c r="A32" s="5" t="s">
        <v>120</v>
      </c>
      <c r="B32" s="6" t="s">
        <v>359</v>
      </c>
      <c r="C32" s="5" t="s">
        <v>21</v>
      </c>
      <c r="D32" s="5" t="s">
        <v>121</v>
      </c>
      <c r="E32" s="5">
        <v>140</v>
      </c>
      <c r="F32" s="5">
        <v>60</v>
      </c>
      <c r="G32" s="5">
        <v>35</v>
      </c>
      <c r="H32" s="7" t="str">
        <f t="shared" si="0"/>
        <v>140 x 60 x 35</v>
      </c>
      <c r="I32" s="5" t="s">
        <v>101</v>
      </c>
      <c r="J32" s="5" t="s">
        <v>18</v>
      </c>
      <c r="K32" s="8"/>
      <c r="L32" s="9">
        <f t="shared" si="1"/>
        <v>0.29399999999999998</v>
      </c>
      <c r="M32" s="10">
        <f>ROUND(L32*VLOOKUP(C32,Assumptions!$A$2:$B$10,2,FALSE),1)</f>
        <v>44.1</v>
      </c>
      <c r="N32" s="11"/>
      <c r="O32" s="12" t="s">
        <v>122</v>
      </c>
    </row>
    <row r="33" spans="1:15" x14ac:dyDescent="0.25">
      <c r="A33" s="5" t="s">
        <v>123</v>
      </c>
      <c r="B33" s="6" t="s">
        <v>360</v>
      </c>
      <c r="C33" s="5" t="s">
        <v>21</v>
      </c>
      <c r="D33" s="5" t="s">
        <v>124</v>
      </c>
      <c r="E33" s="5">
        <v>160</v>
      </c>
      <c r="F33" s="5">
        <v>70</v>
      </c>
      <c r="G33" s="5">
        <v>32</v>
      </c>
      <c r="H33" s="7" t="str">
        <f t="shared" si="0"/>
        <v>160 x 70 x 32</v>
      </c>
      <c r="I33" s="5" t="s">
        <v>101</v>
      </c>
      <c r="J33" s="5" t="s">
        <v>18</v>
      </c>
      <c r="K33" s="8"/>
      <c r="L33" s="9">
        <f t="shared" si="1"/>
        <v>0.35799999999999998</v>
      </c>
      <c r="M33" s="10">
        <f>ROUND(L33*VLOOKUP(C33,Assumptions!$A$2:$B$10,2,FALSE),1)</f>
        <v>53.7</v>
      </c>
      <c r="N33" s="11"/>
      <c r="O33" s="12" t="s">
        <v>125</v>
      </c>
    </row>
    <row r="34" spans="1:15" x14ac:dyDescent="0.25">
      <c r="A34" s="5" t="s">
        <v>126</v>
      </c>
      <c r="B34" s="6" t="s">
        <v>361</v>
      </c>
      <c r="C34" s="5" t="s">
        <v>21</v>
      </c>
      <c r="D34" s="5" t="s">
        <v>127</v>
      </c>
      <c r="E34" s="5">
        <v>180</v>
      </c>
      <c r="F34" s="5">
        <v>70</v>
      </c>
      <c r="G34" s="5">
        <v>40</v>
      </c>
      <c r="H34" s="7" t="str">
        <f t="shared" ref="H34:H65" si="2">TEXT(E34,"0")&amp;" x "&amp;TEXT(F34,"0")&amp;" x "&amp;TEXT(G34,"0")</f>
        <v>180 x 70 x 40</v>
      </c>
      <c r="I34" s="5" t="s">
        <v>324</v>
      </c>
      <c r="J34" s="5" t="s">
        <v>43</v>
      </c>
      <c r="K34" s="8"/>
      <c r="L34" s="9">
        <f t="shared" ref="L34:L65" si="3">ROUND((E34*F34*G34)/1000000,3)</f>
        <v>0.504</v>
      </c>
      <c r="M34" s="10">
        <f>ROUND(L34*VLOOKUP(C34,Assumptions!$A$2:$B$10,2,FALSE),1)</f>
        <v>75.599999999999994</v>
      </c>
      <c r="N34" s="11"/>
      <c r="O34" s="12" t="s">
        <v>128</v>
      </c>
    </row>
    <row r="35" spans="1:15" x14ac:dyDescent="0.25">
      <c r="A35" s="5" t="s">
        <v>129</v>
      </c>
      <c r="B35" s="6" t="s">
        <v>362</v>
      </c>
      <c r="C35" s="5" t="s">
        <v>81</v>
      </c>
      <c r="D35" s="5" t="s">
        <v>130</v>
      </c>
      <c r="E35" s="5">
        <v>80</v>
      </c>
      <c r="F35" s="5">
        <v>80</v>
      </c>
      <c r="G35" s="5">
        <v>40</v>
      </c>
      <c r="H35" s="7" t="str">
        <f t="shared" si="2"/>
        <v>80 x 80 x 40</v>
      </c>
      <c r="I35" s="5" t="s">
        <v>117</v>
      </c>
      <c r="J35" s="5" t="s">
        <v>131</v>
      </c>
      <c r="K35" s="8"/>
      <c r="L35" s="9">
        <f t="shared" si="3"/>
        <v>0.25600000000000001</v>
      </c>
      <c r="M35" s="10">
        <f>ROUND(L35*VLOOKUP(C35,Assumptions!$A$2:$B$10,2,FALSE),1)</f>
        <v>33.299999999999997</v>
      </c>
      <c r="N35" s="11"/>
      <c r="O35" s="12" t="s">
        <v>132</v>
      </c>
    </row>
    <row r="36" spans="1:15" x14ac:dyDescent="0.25">
      <c r="A36" s="5" t="s">
        <v>133</v>
      </c>
      <c r="B36" s="6" t="s">
        <v>363</v>
      </c>
      <c r="C36" s="5" t="s">
        <v>21</v>
      </c>
      <c r="D36" s="5" t="s">
        <v>134</v>
      </c>
      <c r="E36" s="5">
        <v>140</v>
      </c>
      <c r="F36" s="5">
        <v>80</v>
      </c>
      <c r="G36" s="5">
        <v>36</v>
      </c>
      <c r="H36" s="7" t="str">
        <f t="shared" si="2"/>
        <v>140 x 80 x 36</v>
      </c>
      <c r="I36" s="5" t="s">
        <v>101</v>
      </c>
      <c r="J36" s="5" t="s">
        <v>18</v>
      </c>
      <c r="K36" s="8"/>
      <c r="L36" s="9">
        <f t="shared" si="3"/>
        <v>0.40300000000000002</v>
      </c>
      <c r="M36" s="10">
        <f>ROUND(L36*VLOOKUP(C36,Assumptions!$A$2:$B$10,2,FALSE),1)</f>
        <v>60.5</v>
      </c>
      <c r="N36" s="11"/>
      <c r="O36" s="12" t="s">
        <v>135</v>
      </c>
    </row>
    <row r="37" spans="1:15" x14ac:dyDescent="0.25">
      <c r="A37" s="5" t="s">
        <v>136</v>
      </c>
      <c r="B37" s="6" t="s">
        <v>364</v>
      </c>
      <c r="C37" s="5" t="s">
        <v>81</v>
      </c>
      <c r="D37" s="5" t="s">
        <v>137</v>
      </c>
      <c r="E37" s="5">
        <v>60</v>
      </c>
      <c r="F37" s="5">
        <v>60</v>
      </c>
      <c r="G37" s="5">
        <v>45</v>
      </c>
      <c r="H37" s="7" t="str">
        <f t="shared" si="2"/>
        <v>60 x 60 x 45</v>
      </c>
      <c r="I37" s="5" t="s">
        <v>101</v>
      </c>
      <c r="J37" s="5" t="s">
        <v>18</v>
      </c>
      <c r="K37" s="8"/>
      <c r="L37" s="9">
        <f t="shared" si="3"/>
        <v>0.16200000000000001</v>
      </c>
      <c r="M37" s="10">
        <f>ROUND(L37*VLOOKUP(C37,Assumptions!$A$2:$B$10,2,FALSE),1)</f>
        <v>21.1</v>
      </c>
      <c r="N37" s="11"/>
      <c r="O37" s="12" t="s">
        <v>138</v>
      </c>
    </row>
    <row r="38" spans="1:15" ht="30" x14ac:dyDescent="0.25">
      <c r="A38" s="5" t="s">
        <v>139</v>
      </c>
      <c r="B38" s="6" t="s">
        <v>365</v>
      </c>
      <c r="C38" s="5" t="s">
        <v>140</v>
      </c>
      <c r="D38" s="5" t="s">
        <v>141</v>
      </c>
      <c r="E38" s="5">
        <v>160</v>
      </c>
      <c r="F38" s="5">
        <v>160</v>
      </c>
      <c r="G38" s="5">
        <v>74</v>
      </c>
      <c r="H38" s="7" t="str">
        <f t="shared" si="2"/>
        <v>160 x 160 x 74</v>
      </c>
      <c r="I38" s="5" t="s">
        <v>328</v>
      </c>
      <c r="J38" s="5" t="s">
        <v>18</v>
      </c>
      <c r="K38" s="8"/>
      <c r="L38" s="9">
        <f t="shared" si="3"/>
        <v>1.8939999999999999</v>
      </c>
      <c r="M38" s="10">
        <f>ROUND(L38*VLOOKUP(C38,Assumptions!$A$2:$B$10,2,FALSE),1)</f>
        <v>331.5</v>
      </c>
      <c r="N38" s="11"/>
      <c r="O38" s="12" t="s">
        <v>142</v>
      </c>
    </row>
    <row r="39" spans="1:15" x14ac:dyDescent="0.25">
      <c r="A39" s="5" t="s">
        <v>143</v>
      </c>
      <c r="B39" s="6" t="s">
        <v>366</v>
      </c>
      <c r="C39" s="5" t="s">
        <v>144</v>
      </c>
      <c r="D39" s="5" t="s">
        <v>145</v>
      </c>
      <c r="E39" s="5">
        <v>220</v>
      </c>
      <c r="F39" s="5">
        <v>80</v>
      </c>
      <c r="G39" s="5">
        <v>74</v>
      </c>
      <c r="H39" s="7" t="str">
        <f t="shared" si="2"/>
        <v>220 x 80 x 74</v>
      </c>
      <c r="I39" s="5" t="s">
        <v>146</v>
      </c>
      <c r="J39" s="5" t="s">
        <v>18</v>
      </c>
      <c r="K39" s="8"/>
      <c r="L39" s="9">
        <f t="shared" si="3"/>
        <v>1.302</v>
      </c>
      <c r="M39" s="10">
        <f>ROUND(L39*VLOOKUP(C39,Assumptions!$A$2:$B$10,2,FALSE),1)</f>
        <v>208.3</v>
      </c>
      <c r="N39" s="11"/>
      <c r="O39" s="12" t="s">
        <v>147</v>
      </c>
    </row>
    <row r="40" spans="1:15" ht="30" x14ac:dyDescent="0.25">
      <c r="A40" s="5" t="s">
        <v>148</v>
      </c>
      <c r="B40" s="6" t="s">
        <v>367</v>
      </c>
      <c r="C40" s="5" t="s">
        <v>21</v>
      </c>
      <c r="D40" s="5" t="s">
        <v>149</v>
      </c>
      <c r="E40" s="5">
        <v>140</v>
      </c>
      <c r="F40" s="5">
        <v>80</v>
      </c>
      <c r="G40" s="5">
        <v>36</v>
      </c>
      <c r="H40" s="7" t="str">
        <f t="shared" si="2"/>
        <v>140 x 80 x 36</v>
      </c>
      <c r="I40" s="5" t="s">
        <v>146</v>
      </c>
      <c r="J40" s="5" t="s">
        <v>18</v>
      </c>
      <c r="K40" s="8"/>
      <c r="L40" s="9">
        <f t="shared" si="3"/>
        <v>0.40300000000000002</v>
      </c>
      <c r="M40" s="10">
        <f>ROUND(L40*VLOOKUP(C40,Assumptions!$A$2:$B$10,2,FALSE),1)</f>
        <v>60.5</v>
      </c>
      <c r="N40" s="11"/>
      <c r="O40" s="12" t="s">
        <v>150</v>
      </c>
    </row>
    <row r="41" spans="1:15" x14ac:dyDescent="0.25">
      <c r="A41" s="5" t="s">
        <v>151</v>
      </c>
      <c r="B41" s="6" t="s">
        <v>368</v>
      </c>
      <c r="C41" s="5" t="s">
        <v>144</v>
      </c>
      <c r="D41" s="5" t="s">
        <v>152</v>
      </c>
      <c r="E41" s="5">
        <v>220</v>
      </c>
      <c r="F41" s="5">
        <v>45</v>
      </c>
      <c r="G41" s="5">
        <v>42</v>
      </c>
      <c r="H41" s="7" t="str">
        <f t="shared" si="2"/>
        <v>220 x 45 x 42</v>
      </c>
      <c r="I41" s="5" t="s">
        <v>146</v>
      </c>
      <c r="J41" s="5" t="s">
        <v>18</v>
      </c>
      <c r="K41" s="8"/>
      <c r="L41" s="9">
        <f t="shared" si="3"/>
        <v>0.41599999999999998</v>
      </c>
      <c r="M41" s="10">
        <f>ROUND(L41*VLOOKUP(C41,Assumptions!$A$2:$B$10,2,FALSE),1)</f>
        <v>66.599999999999994</v>
      </c>
      <c r="N41" s="11"/>
      <c r="O41" s="12" t="s">
        <v>153</v>
      </c>
    </row>
    <row r="42" spans="1:15" x14ac:dyDescent="0.25">
      <c r="A42" s="5" t="s">
        <v>154</v>
      </c>
      <c r="B42" s="6" t="s">
        <v>369</v>
      </c>
      <c r="C42" s="5" t="s">
        <v>144</v>
      </c>
      <c r="D42" s="5" t="s">
        <v>155</v>
      </c>
      <c r="E42" s="5">
        <v>130</v>
      </c>
      <c r="F42" s="5">
        <v>130</v>
      </c>
      <c r="G42" s="5">
        <v>74</v>
      </c>
      <c r="H42" s="7" t="str">
        <f t="shared" si="2"/>
        <v>130 x 130 x 74</v>
      </c>
      <c r="I42" s="5" t="s">
        <v>146</v>
      </c>
      <c r="J42" s="5" t="s">
        <v>18</v>
      </c>
      <c r="K42" s="8"/>
      <c r="L42" s="9">
        <f t="shared" si="3"/>
        <v>1.2509999999999999</v>
      </c>
      <c r="M42" s="10">
        <f>ROUND(L42*VLOOKUP(C42,Assumptions!$A$2:$B$10,2,FALSE),1)</f>
        <v>200.2</v>
      </c>
      <c r="N42" s="11"/>
      <c r="O42" s="12" t="s">
        <v>156</v>
      </c>
    </row>
    <row r="43" spans="1:15" x14ac:dyDescent="0.25">
      <c r="A43" s="5" t="s">
        <v>157</v>
      </c>
      <c r="B43" s="6" t="s">
        <v>370</v>
      </c>
      <c r="C43" s="5" t="s">
        <v>21</v>
      </c>
      <c r="D43" s="5" t="s">
        <v>158</v>
      </c>
      <c r="E43" s="5">
        <v>170</v>
      </c>
      <c r="F43" s="5">
        <v>60</v>
      </c>
      <c r="G43" s="5">
        <v>32</v>
      </c>
      <c r="H43" s="7" t="str">
        <f t="shared" si="2"/>
        <v>170 x 60 x 32</v>
      </c>
      <c r="I43" s="5" t="s">
        <v>159</v>
      </c>
      <c r="J43" s="5" t="s">
        <v>18</v>
      </c>
      <c r="K43" s="8"/>
      <c r="L43" s="9">
        <f t="shared" si="3"/>
        <v>0.32600000000000001</v>
      </c>
      <c r="M43" s="10">
        <f>ROUND(L43*VLOOKUP(C43,Assumptions!$A$2:$B$10,2,FALSE),1)</f>
        <v>48.9</v>
      </c>
      <c r="N43" s="11"/>
      <c r="O43" s="12" t="s">
        <v>160</v>
      </c>
    </row>
    <row r="44" spans="1:15" ht="30" x14ac:dyDescent="0.25">
      <c r="A44" s="5" t="s">
        <v>161</v>
      </c>
      <c r="B44" s="6" t="s">
        <v>371</v>
      </c>
      <c r="C44" s="5" t="s">
        <v>162</v>
      </c>
      <c r="D44" s="5" t="s">
        <v>163</v>
      </c>
      <c r="E44" s="5">
        <v>240</v>
      </c>
      <c r="F44" s="5">
        <v>95</v>
      </c>
      <c r="G44" s="5">
        <v>82</v>
      </c>
      <c r="H44" s="7" t="str">
        <f t="shared" si="2"/>
        <v>240 x 95 x 82</v>
      </c>
      <c r="I44" s="5" t="s">
        <v>325</v>
      </c>
      <c r="J44" s="5" t="s">
        <v>43</v>
      </c>
      <c r="K44" s="8"/>
      <c r="L44" s="9">
        <f t="shared" si="3"/>
        <v>1.87</v>
      </c>
      <c r="M44" s="10">
        <f>ROUND(L44*VLOOKUP(C44,Assumptions!$A$2:$B$10,2,FALSE),1)</f>
        <v>130.9</v>
      </c>
      <c r="N44" s="11"/>
      <c r="O44" s="12" t="s">
        <v>164</v>
      </c>
    </row>
    <row r="45" spans="1:15" ht="30" x14ac:dyDescent="0.25">
      <c r="A45" s="5" t="s">
        <v>165</v>
      </c>
      <c r="B45" s="6" t="s">
        <v>372</v>
      </c>
      <c r="C45" s="5" t="s">
        <v>162</v>
      </c>
      <c r="D45" s="5" t="s">
        <v>166</v>
      </c>
      <c r="E45" s="5">
        <v>235</v>
      </c>
      <c r="F45" s="5">
        <v>92</v>
      </c>
      <c r="G45" s="5">
        <v>78</v>
      </c>
      <c r="H45" s="7" t="str">
        <f t="shared" si="2"/>
        <v>235 x 92 x 78</v>
      </c>
      <c r="I45" s="5" t="s">
        <v>146</v>
      </c>
      <c r="J45" s="5" t="s">
        <v>167</v>
      </c>
      <c r="K45" s="8"/>
      <c r="L45" s="9">
        <f t="shared" si="3"/>
        <v>1.6859999999999999</v>
      </c>
      <c r="M45" s="10">
        <f>ROUND(L45*VLOOKUP(C45,Assumptions!$A$2:$B$10,2,FALSE),1)</f>
        <v>118</v>
      </c>
      <c r="N45" s="11"/>
      <c r="O45" s="12" t="s">
        <v>168</v>
      </c>
    </row>
    <row r="46" spans="1:15" ht="30" x14ac:dyDescent="0.25">
      <c r="A46" s="5" t="s">
        <v>169</v>
      </c>
      <c r="B46" s="6" t="s">
        <v>373</v>
      </c>
      <c r="C46" s="5" t="s">
        <v>162</v>
      </c>
      <c r="D46" s="5" t="s">
        <v>170</v>
      </c>
      <c r="E46" s="5">
        <v>235</v>
      </c>
      <c r="F46" s="5">
        <v>92</v>
      </c>
      <c r="G46" s="5">
        <v>78</v>
      </c>
      <c r="H46" s="7" t="str">
        <f t="shared" si="2"/>
        <v>235 x 92 x 78</v>
      </c>
      <c r="I46" s="5" t="s">
        <v>70</v>
      </c>
      <c r="J46" s="5" t="s">
        <v>167</v>
      </c>
      <c r="K46" s="8"/>
      <c r="L46" s="9">
        <f t="shared" si="3"/>
        <v>1.6859999999999999</v>
      </c>
      <c r="M46" s="10">
        <f>ROUND(L46*VLOOKUP(C46,Assumptions!$A$2:$B$10,2,FALSE),1)</f>
        <v>118</v>
      </c>
      <c r="N46" s="11"/>
      <c r="O46" s="12" t="s">
        <v>171</v>
      </c>
    </row>
    <row r="47" spans="1:15" x14ac:dyDescent="0.25">
      <c r="A47" s="5" t="s">
        <v>172</v>
      </c>
      <c r="B47" s="6" t="s">
        <v>374</v>
      </c>
      <c r="C47" s="5" t="s">
        <v>162</v>
      </c>
      <c r="D47" s="5" t="s">
        <v>173</v>
      </c>
      <c r="E47" s="5">
        <v>280</v>
      </c>
      <c r="F47" s="5">
        <v>160</v>
      </c>
      <c r="G47" s="5">
        <v>82</v>
      </c>
      <c r="H47" s="7" t="str">
        <f t="shared" si="2"/>
        <v>280 x 160 x 82</v>
      </c>
      <c r="I47" s="5" t="s">
        <v>146</v>
      </c>
      <c r="J47" s="5" t="s">
        <v>174</v>
      </c>
      <c r="K47" s="8"/>
      <c r="L47" s="9">
        <f t="shared" si="3"/>
        <v>3.6739999999999999</v>
      </c>
      <c r="M47" s="10">
        <f>ROUND(L47*VLOOKUP(C47,Assumptions!$A$2:$B$10,2,FALSE),1)</f>
        <v>257.2</v>
      </c>
      <c r="N47" s="11"/>
      <c r="O47" s="12" t="s">
        <v>175</v>
      </c>
    </row>
    <row r="48" spans="1:15" ht="30" x14ac:dyDescent="0.25">
      <c r="A48" s="5" t="s">
        <v>176</v>
      </c>
      <c r="B48" s="6" t="s">
        <v>375</v>
      </c>
      <c r="C48" s="5" t="s">
        <v>162</v>
      </c>
      <c r="D48" s="5" t="s">
        <v>173</v>
      </c>
      <c r="E48" s="5">
        <v>280</v>
      </c>
      <c r="F48" s="5">
        <v>160</v>
      </c>
      <c r="G48" s="5">
        <v>82</v>
      </c>
      <c r="H48" s="7" t="str">
        <f t="shared" si="2"/>
        <v>280 x 160 x 82</v>
      </c>
      <c r="I48" s="5" t="s">
        <v>146</v>
      </c>
      <c r="J48" s="5" t="s">
        <v>167</v>
      </c>
      <c r="K48" s="8"/>
      <c r="L48" s="9">
        <f t="shared" si="3"/>
        <v>3.6739999999999999</v>
      </c>
      <c r="M48" s="10">
        <f>ROUND(L48*VLOOKUP(C48,Assumptions!$A$2:$B$10,2,FALSE),1)</f>
        <v>257.2</v>
      </c>
      <c r="N48" s="11"/>
      <c r="O48" s="12" t="s">
        <v>177</v>
      </c>
    </row>
    <row r="49" spans="1:15" ht="30" x14ac:dyDescent="0.25">
      <c r="A49" s="5" t="s">
        <v>178</v>
      </c>
      <c r="B49" s="6" t="s">
        <v>376</v>
      </c>
      <c r="C49" s="5" t="s">
        <v>179</v>
      </c>
      <c r="D49" s="5" t="s">
        <v>180</v>
      </c>
      <c r="E49" s="5">
        <v>200</v>
      </c>
      <c r="F49" s="5">
        <v>150</v>
      </c>
      <c r="G49" s="5">
        <v>34</v>
      </c>
      <c r="H49" s="7" t="str">
        <f t="shared" si="2"/>
        <v>200 x 150 x 34</v>
      </c>
      <c r="I49" s="5" t="s">
        <v>146</v>
      </c>
      <c r="J49" s="5" t="s">
        <v>181</v>
      </c>
      <c r="K49" s="8"/>
      <c r="L49" s="9">
        <f t="shared" si="3"/>
        <v>1.02</v>
      </c>
      <c r="M49" s="10">
        <f>ROUND(L49*VLOOKUP(C49,Assumptions!$A$2:$B$10,2,FALSE),1)</f>
        <v>66.3</v>
      </c>
      <c r="N49" s="11"/>
      <c r="O49" s="12" t="s">
        <v>182</v>
      </c>
    </row>
    <row r="50" spans="1:15" ht="30" x14ac:dyDescent="0.25">
      <c r="A50" s="5" t="s">
        <v>183</v>
      </c>
      <c r="B50" s="6" t="s">
        <v>377</v>
      </c>
      <c r="C50" s="5" t="s">
        <v>162</v>
      </c>
      <c r="D50" s="5" t="s">
        <v>184</v>
      </c>
      <c r="E50" s="5">
        <v>250</v>
      </c>
      <c r="F50" s="5">
        <v>95</v>
      </c>
      <c r="G50" s="5">
        <v>78</v>
      </c>
      <c r="H50" s="7" t="str">
        <f t="shared" si="2"/>
        <v>250 x 95 x 78</v>
      </c>
      <c r="I50" s="5" t="s">
        <v>146</v>
      </c>
      <c r="J50" s="5" t="s">
        <v>167</v>
      </c>
      <c r="K50" s="8"/>
      <c r="L50" s="9">
        <f t="shared" si="3"/>
        <v>1.853</v>
      </c>
      <c r="M50" s="10">
        <f>ROUND(L50*VLOOKUP(C50,Assumptions!$A$2:$B$10,2,FALSE),1)</f>
        <v>129.69999999999999</v>
      </c>
      <c r="N50" s="11"/>
      <c r="O50" s="12" t="s">
        <v>185</v>
      </c>
    </row>
    <row r="51" spans="1:15" ht="30" x14ac:dyDescent="0.25">
      <c r="A51" s="5" t="s">
        <v>186</v>
      </c>
      <c r="B51" s="6" t="s">
        <v>378</v>
      </c>
      <c r="C51" s="5" t="s">
        <v>162</v>
      </c>
      <c r="D51" s="5" t="s">
        <v>187</v>
      </c>
      <c r="E51" s="5">
        <v>250</v>
      </c>
      <c r="F51" s="5">
        <v>92</v>
      </c>
      <c r="G51" s="5">
        <v>76</v>
      </c>
      <c r="H51" s="7" t="str">
        <f t="shared" si="2"/>
        <v>250 x 92 x 76</v>
      </c>
      <c r="I51" s="5" t="s">
        <v>188</v>
      </c>
      <c r="J51" s="5" t="s">
        <v>189</v>
      </c>
      <c r="K51" s="8"/>
      <c r="L51" s="9">
        <f t="shared" si="3"/>
        <v>1.748</v>
      </c>
      <c r="M51" s="10">
        <f>ROUND(L51*VLOOKUP(C51,Assumptions!$A$2:$B$10,2,FALSE),1)</f>
        <v>122.4</v>
      </c>
      <c r="N51" s="11"/>
      <c r="O51" s="12" t="s">
        <v>190</v>
      </c>
    </row>
    <row r="52" spans="1:15" ht="30" x14ac:dyDescent="0.25">
      <c r="A52" s="5" t="s">
        <v>191</v>
      </c>
      <c r="B52" s="6" t="s">
        <v>379</v>
      </c>
      <c r="C52" s="5" t="s">
        <v>162</v>
      </c>
      <c r="D52" s="5" t="s">
        <v>192</v>
      </c>
      <c r="E52" s="5">
        <v>230</v>
      </c>
      <c r="F52" s="5">
        <v>90</v>
      </c>
      <c r="G52" s="5">
        <v>80</v>
      </c>
      <c r="H52" s="7" t="str">
        <f t="shared" si="2"/>
        <v>230 x 90 x 80</v>
      </c>
      <c r="I52" s="5" t="s">
        <v>146</v>
      </c>
      <c r="J52" s="5" t="s">
        <v>167</v>
      </c>
      <c r="K52" s="8"/>
      <c r="L52" s="9">
        <f t="shared" si="3"/>
        <v>1.6559999999999999</v>
      </c>
      <c r="M52" s="10">
        <f>ROUND(L52*VLOOKUP(C52,Assumptions!$A$2:$B$10,2,FALSE),1)</f>
        <v>115.9</v>
      </c>
      <c r="N52" s="11"/>
      <c r="O52" s="12" t="s">
        <v>193</v>
      </c>
    </row>
    <row r="53" spans="1:15" ht="30" x14ac:dyDescent="0.25">
      <c r="A53" s="5" t="s">
        <v>194</v>
      </c>
      <c r="B53" s="6" t="s">
        <v>380</v>
      </c>
      <c r="C53" s="5" t="s">
        <v>179</v>
      </c>
      <c r="D53" s="5" t="s">
        <v>195</v>
      </c>
      <c r="E53" s="5">
        <v>200</v>
      </c>
      <c r="F53" s="5">
        <v>75</v>
      </c>
      <c r="G53" s="5">
        <v>34</v>
      </c>
      <c r="H53" s="7" t="str">
        <f t="shared" si="2"/>
        <v>200 x 75 x 34</v>
      </c>
      <c r="I53" s="5" t="s">
        <v>146</v>
      </c>
      <c r="J53" s="5" t="s">
        <v>51</v>
      </c>
      <c r="K53" s="8"/>
      <c r="L53" s="9">
        <f t="shared" si="3"/>
        <v>0.51</v>
      </c>
      <c r="M53" s="10">
        <f>ROUND(L53*VLOOKUP(C53,Assumptions!$A$2:$B$10,2,FALSE),1)</f>
        <v>33.200000000000003</v>
      </c>
      <c r="N53" s="11"/>
      <c r="O53" s="12" t="s">
        <v>196</v>
      </c>
    </row>
    <row r="54" spans="1:15" x14ac:dyDescent="0.25">
      <c r="A54" s="5" t="s">
        <v>197</v>
      </c>
      <c r="B54" s="6" t="s">
        <v>381</v>
      </c>
      <c r="C54" s="5" t="s">
        <v>162</v>
      </c>
      <c r="D54" s="5" t="s">
        <v>198</v>
      </c>
      <c r="E54" s="5">
        <v>250</v>
      </c>
      <c r="F54" s="5">
        <v>92</v>
      </c>
      <c r="G54" s="5">
        <v>76</v>
      </c>
      <c r="H54" s="7" t="str">
        <f t="shared" si="2"/>
        <v>250 x 92 x 76</v>
      </c>
      <c r="I54" s="5" t="s">
        <v>188</v>
      </c>
      <c r="J54" s="5" t="s">
        <v>189</v>
      </c>
      <c r="K54" s="8"/>
      <c r="L54" s="9">
        <f t="shared" si="3"/>
        <v>1.748</v>
      </c>
      <c r="M54" s="10">
        <f>ROUND(L54*VLOOKUP(C54,Assumptions!$A$2:$B$10,2,FALSE),1)</f>
        <v>122.4</v>
      </c>
      <c r="N54" s="11"/>
      <c r="O54" s="12" t="s">
        <v>199</v>
      </c>
    </row>
    <row r="55" spans="1:15" ht="30" x14ac:dyDescent="0.25">
      <c r="A55" s="5" t="s">
        <v>200</v>
      </c>
      <c r="B55" s="6" t="s">
        <v>382</v>
      </c>
      <c r="C55" s="5" t="s">
        <v>162</v>
      </c>
      <c r="D55" s="5" t="s">
        <v>201</v>
      </c>
      <c r="E55" s="5">
        <v>235</v>
      </c>
      <c r="F55" s="5">
        <v>92</v>
      </c>
      <c r="G55" s="5">
        <v>78</v>
      </c>
      <c r="H55" s="7" t="str">
        <f t="shared" si="2"/>
        <v>235 x 92 x 78</v>
      </c>
      <c r="I55" s="5" t="s">
        <v>146</v>
      </c>
      <c r="J55" s="5" t="s">
        <v>167</v>
      </c>
      <c r="K55" s="8"/>
      <c r="L55" s="9">
        <f t="shared" si="3"/>
        <v>1.6859999999999999</v>
      </c>
      <c r="M55" s="10">
        <f>ROUND(L55*VLOOKUP(C55,Assumptions!$A$2:$B$10,2,FALSE),1)</f>
        <v>118</v>
      </c>
      <c r="N55" s="11"/>
      <c r="O55" s="12" t="s">
        <v>202</v>
      </c>
    </row>
    <row r="56" spans="1:15" ht="30" x14ac:dyDescent="0.25">
      <c r="A56" s="5" t="s">
        <v>203</v>
      </c>
      <c r="B56" s="6" t="s">
        <v>383</v>
      </c>
      <c r="C56" s="5" t="s">
        <v>162</v>
      </c>
      <c r="D56" s="5" t="s">
        <v>204</v>
      </c>
      <c r="E56" s="5">
        <v>240</v>
      </c>
      <c r="F56" s="5">
        <v>95</v>
      </c>
      <c r="G56" s="5">
        <v>82</v>
      </c>
      <c r="H56" s="7" t="str">
        <f t="shared" si="2"/>
        <v>240 x 95 x 82</v>
      </c>
      <c r="I56" s="5" t="s">
        <v>325</v>
      </c>
      <c r="J56" s="5" t="s">
        <v>43</v>
      </c>
      <c r="K56" s="8"/>
      <c r="L56" s="9">
        <f t="shared" si="3"/>
        <v>1.87</v>
      </c>
      <c r="M56" s="10">
        <f>ROUND(L56*VLOOKUP(C56,Assumptions!$A$2:$B$10,2,FALSE),1)</f>
        <v>130.9</v>
      </c>
      <c r="N56" s="11"/>
      <c r="O56" s="12" t="s">
        <v>205</v>
      </c>
    </row>
    <row r="57" spans="1:15" ht="30" x14ac:dyDescent="0.25">
      <c r="A57" s="5" t="s">
        <v>206</v>
      </c>
      <c r="B57" s="6" t="s">
        <v>384</v>
      </c>
      <c r="C57" s="5" t="s">
        <v>162</v>
      </c>
      <c r="D57" s="5" t="s">
        <v>207</v>
      </c>
      <c r="E57" s="5">
        <v>300</v>
      </c>
      <c r="F57" s="5">
        <v>180</v>
      </c>
      <c r="G57" s="5">
        <v>78</v>
      </c>
      <c r="H57" s="7" t="str">
        <f t="shared" si="2"/>
        <v>300 x 180 x 78</v>
      </c>
      <c r="I57" s="5" t="s">
        <v>325</v>
      </c>
      <c r="J57" s="5" t="s">
        <v>43</v>
      </c>
      <c r="K57" s="8"/>
      <c r="L57" s="9">
        <f t="shared" si="3"/>
        <v>4.2119999999999997</v>
      </c>
      <c r="M57" s="10">
        <f>ROUND(L57*VLOOKUP(C57,Assumptions!$A$2:$B$10,2,FALSE),1)</f>
        <v>294.8</v>
      </c>
      <c r="N57" s="11"/>
      <c r="O57" s="12" t="s">
        <v>208</v>
      </c>
    </row>
    <row r="58" spans="1:15" ht="30" x14ac:dyDescent="0.25">
      <c r="A58" s="5" t="s">
        <v>209</v>
      </c>
      <c r="B58" s="6" t="s">
        <v>385</v>
      </c>
      <c r="C58" s="5" t="s">
        <v>162</v>
      </c>
      <c r="D58" s="5" t="s">
        <v>210</v>
      </c>
      <c r="E58" s="5">
        <v>380</v>
      </c>
      <c r="F58" s="5">
        <v>320</v>
      </c>
      <c r="G58" s="5">
        <v>78</v>
      </c>
      <c r="H58" s="7" t="str">
        <f t="shared" si="2"/>
        <v>380 x 320 x 78</v>
      </c>
      <c r="I58" s="5" t="s">
        <v>211</v>
      </c>
      <c r="J58" s="5" t="s">
        <v>212</v>
      </c>
      <c r="K58" s="8"/>
      <c r="L58" s="9">
        <f t="shared" si="3"/>
        <v>9.4849999999999994</v>
      </c>
      <c r="M58" s="10">
        <f>ROUND(L58*VLOOKUP(C58,Assumptions!$A$2:$B$10,2,FALSE),1)</f>
        <v>664</v>
      </c>
      <c r="N58" s="11"/>
      <c r="O58" s="12" t="s">
        <v>213</v>
      </c>
    </row>
    <row r="59" spans="1:15" ht="30" x14ac:dyDescent="0.25">
      <c r="A59" s="5" t="s">
        <v>214</v>
      </c>
      <c r="B59" s="6" t="s">
        <v>386</v>
      </c>
      <c r="C59" s="5" t="s">
        <v>41</v>
      </c>
      <c r="D59" s="5" t="s">
        <v>215</v>
      </c>
      <c r="E59" s="5">
        <v>82</v>
      </c>
      <c r="F59" s="5">
        <v>86</v>
      </c>
      <c r="G59" s="5">
        <v>78</v>
      </c>
      <c r="H59" s="7" t="str">
        <f t="shared" si="2"/>
        <v>82 x 86 x 78</v>
      </c>
      <c r="I59" s="5" t="s">
        <v>146</v>
      </c>
      <c r="J59" s="5" t="s">
        <v>167</v>
      </c>
      <c r="K59" s="8"/>
      <c r="L59" s="9">
        <f t="shared" si="3"/>
        <v>0.55000000000000004</v>
      </c>
      <c r="M59" s="10">
        <f>ROUND(L59*VLOOKUP(C59,Assumptions!$A$2:$B$10,2,FALSE),1)</f>
        <v>52.3</v>
      </c>
      <c r="N59" s="11"/>
      <c r="O59" s="12" t="s">
        <v>216</v>
      </c>
    </row>
    <row r="60" spans="1:15" ht="30" x14ac:dyDescent="0.25">
      <c r="A60" s="5" t="s">
        <v>217</v>
      </c>
      <c r="B60" s="6" t="s">
        <v>387</v>
      </c>
      <c r="C60" s="5" t="s">
        <v>41</v>
      </c>
      <c r="D60" s="5" t="s">
        <v>218</v>
      </c>
      <c r="E60" s="5">
        <v>85</v>
      </c>
      <c r="F60" s="5">
        <v>88</v>
      </c>
      <c r="G60" s="5">
        <v>78</v>
      </c>
      <c r="H60" s="7" t="str">
        <f t="shared" si="2"/>
        <v>85 x 88 x 78</v>
      </c>
      <c r="I60" s="5" t="s">
        <v>146</v>
      </c>
      <c r="J60" s="5" t="s">
        <v>167</v>
      </c>
      <c r="K60" s="8"/>
      <c r="L60" s="9">
        <f t="shared" si="3"/>
        <v>0.58299999999999996</v>
      </c>
      <c r="M60" s="10">
        <f>ROUND(L60*VLOOKUP(C60,Assumptions!$A$2:$B$10,2,FALSE),1)</f>
        <v>55.4</v>
      </c>
      <c r="N60" s="11"/>
      <c r="O60" s="12" t="s">
        <v>219</v>
      </c>
    </row>
    <row r="61" spans="1:15" ht="30" x14ac:dyDescent="0.25">
      <c r="A61" s="5" t="s">
        <v>220</v>
      </c>
      <c r="B61" s="6" t="s">
        <v>388</v>
      </c>
      <c r="C61" s="5" t="s">
        <v>41</v>
      </c>
      <c r="D61" s="5" t="s">
        <v>221</v>
      </c>
      <c r="E61" s="5">
        <v>82</v>
      </c>
      <c r="F61" s="5">
        <v>86</v>
      </c>
      <c r="G61" s="5">
        <v>78</v>
      </c>
      <c r="H61" s="7" t="str">
        <f t="shared" si="2"/>
        <v>82 x 86 x 78</v>
      </c>
      <c r="I61" s="5" t="s">
        <v>146</v>
      </c>
      <c r="J61" s="5" t="s">
        <v>167</v>
      </c>
      <c r="K61" s="8"/>
      <c r="L61" s="9">
        <f t="shared" si="3"/>
        <v>0.55000000000000004</v>
      </c>
      <c r="M61" s="10">
        <f>ROUND(L61*VLOOKUP(C61,Assumptions!$A$2:$B$10,2,FALSE),1)</f>
        <v>52.3</v>
      </c>
      <c r="N61" s="11"/>
      <c r="O61" s="12" t="s">
        <v>222</v>
      </c>
    </row>
    <row r="62" spans="1:15" x14ac:dyDescent="0.25">
      <c r="A62" s="5" t="s">
        <v>223</v>
      </c>
      <c r="B62" s="6" t="s">
        <v>389</v>
      </c>
      <c r="C62" s="5" t="s">
        <v>41</v>
      </c>
      <c r="D62" s="5" t="s">
        <v>224</v>
      </c>
      <c r="E62" s="5">
        <v>95</v>
      </c>
      <c r="F62" s="5">
        <v>90</v>
      </c>
      <c r="G62" s="5">
        <v>72</v>
      </c>
      <c r="H62" s="7" t="str">
        <f t="shared" si="2"/>
        <v>95 x 90 x 72</v>
      </c>
      <c r="I62" s="5" t="s">
        <v>146</v>
      </c>
      <c r="J62" s="5" t="s">
        <v>189</v>
      </c>
      <c r="K62" s="8"/>
      <c r="L62" s="9">
        <f t="shared" si="3"/>
        <v>0.61599999999999999</v>
      </c>
      <c r="M62" s="10">
        <f>ROUND(L62*VLOOKUP(C62,Assumptions!$A$2:$B$10,2,FALSE),1)</f>
        <v>58.5</v>
      </c>
      <c r="N62" s="11"/>
      <c r="O62" s="12" t="s">
        <v>225</v>
      </c>
    </row>
    <row r="63" spans="1:15" ht="30" x14ac:dyDescent="0.25">
      <c r="A63" s="5" t="s">
        <v>226</v>
      </c>
      <c r="B63" s="6" t="s">
        <v>390</v>
      </c>
      <c r="C63" s="5" t="s">
        <v>41</v>
      </c>
      <c r="D63" s="5" t="s">
        <v>227</v>
      </c>
      <c r="E63" s="5">
        <v>88</v>
      </c>
      <c r="F63" s="5">
        <v>92</v>
      </c>
      <c r="G63" s="5">
        <v>78</v>
      </c>
      <c r="H63" s="7" t="str">
        <f t="shared" si="2"/>
        <v>88 x 92 x 78</v>
      </c>
      <c r="I63" s="5" t="s">
        <v>146</v>
      </c>
      <c r="J63" s="5" t="s">
        <v>167</v>
      </c>
      <c r="K63" s="8"/>
      <c r="L63" s="9">
        <f t="shared" si="3"/>
        <v>0.63100000000000001</v>
      </c>
      <c r="M63" s="10">
        <f>ROUND(L63*VLOOKUP(C63,Assumptions!$A$2:$B$10,2,FALSE),1)</f>
        <v>59.9</v>
      </c>
      <c r="N63" s="11"/>
      <c r="O63" s="12" t="s">
        <v>228</v>
      </c>
    </row>
    <row r="64" spans="1:15" x14ac:dyDescent="0.25">
      <c r="A64" s="5" t="s">
        <v>229</v>
      </c>
      <c r="B64" s="6" t="s">
        <v>391</v>
      </c>
      <c r="C64" s="5" t="s">
        <v>41</v>
      </c>
      <c r="D64" s="5" t="s">
        <v>230</v>
      </c>
      <c r="E64" s="5">
        <v>82</v>
      </c>
      <c r="F64" s="5">
        <v>86</v>
      </c>
      <c r="G64" s="5">
        <v>78</v>
      </c>
      <c r="H64" s="7" t="str">
        <f t="shared" si="2"/>
        <v>82 x 86 x 78</v>
      </c>
      <c r="I64" s="5" t="s">
        <v>146</v>
      </c>
      <c r="J64" s="5" t="s">
        <v>174</v>
      </c>
      <c r="K64" s="8"/>
      <c r="L64" s="9">
        <f t="shared" si="3"/>
        <v>0.55000000000000004</v>
      </c>
      <c r="M64" s="10">
        <f>ROUND(L64*VLOOKUP(C64,Assumptions!$A$2:$B$10,2,FALSE),1)</f>
        <v>52.3</v>
      </c>
      <c r="N64" s="11"/>
      <c r="O64" s="12" t="s">
        <v>231</v>
      </c>
    </row>
    <row r="65" spans="1:15" ht="30" x14ac:dyDescent="0.25">
      <c r="A65" s="5" t="s">
        <v>232</v>
      </c>
      <c r="B65" s="6" t="s">
        <v>392</v>
      </c>
      <c r="C65" s="5" t="s">
        <v>41</v>
      </c>
      <c r="D65" s="5" t="s">
        <v>233</v>
      </c>
      <c r="E65" s="5">
        <v>55</v>
      </c>
      <c r="F65" s="5">
        <v>62</v>
      </c>
      <c r="G65" s="5">
        <v>84</v>
      </c>
      <c r="H65" s="7" t="str">
        <f t="shared" si="2"/>
        <v>55 x 62 x 84</v>
      </c>
      <c r="I65" s="5" t="s">
        <v>321</v>
      </c>
      <c r="J65" s="5" t="s">
        <v>234</v>
      </c>
      <c r="K65" s="8"/>
      <c r="L65" s="9">
        <f t="shared" si="3"/>
        <v>0.28599999999999998</v>
      </c>
      <c r="M65" s="10">
        <f>ROUND(L65*VLOOKUP(C65,Assumptions!$A$2:$B$10,2,FALSE),1)</f>
        <v>27.2</v>
      </c>
      <c r="N65" s="11"/>
      <c r="O65" s="12" t="s">
        <v>235</v>
      </c>
    </row>
    <row r="66" spans="1:15" ht="30" x14ac:dyDescent="0.25">
      <c r="A66" s="5" t="s">
        <v>236</v>
      </c>
      <c r="B66" s="6" t="s">
        <v>393</v>
      </c>
      <c r="C66" s="5" t="s">
        <v>41</v>
      </c>
      <c r="D66" s="5" t="s">
        <v>237</v>
      </c>
      <c r="E66" s="5">
        <v>60</v>
      </c>
      <c r="F66" s="5">
        <v>62</v>
      </c>
      <c r="G66" s="5">
        <v>82</v>
      </c>
      <c r="H66" s="7" t="str">
        <f t="shared" ref="H66:H97" si="4">TEXT(E66,"0")&amp;" x "&amp;TEXT(F66,"0")&amp;" x "&amp;TEXT(G66,"0")</f>
        <v>60 x 62 x 82</v>
      </c>
      <c r="I66" s="5" t="s">
        <v>70</v>
      </c>
      <c r="J66" s="5" t="s">
        <v>167</v>
      </c>
      <c r="K66" s="8"/>
      <c r="L66" s="9">
        <f t="shared" ref="L66:L90" si="5">ROUND((E66*F66*G66)/1000000,3)</f>
        <v>0.30499999999999999</v>
      </c>
      <c r="M66" s="10">
        <f>ROUND(L66*VLOOKUP(C66,Assumptions!$A$2:$B$10,2,FALSE),1)</f>
        <v>29</v>
      </c>
      <c r="N66" s="11"/>
      <c r="O66" s="12" t="s">
        <v>238</v>
      </c>
    </row>
    <row r="67" spans="1:15" ht="30" x14ac:dyDescent="0.25">
      <c r="A67" s="5" t="s">
        <v>239</v>
      </c>
      <c r="B67" s="6" t="s">
        <v>394</v>
      </c>
      <c r="C67" s="5" t="s">
        <v>41</v>
      </c>
      <c r="D67" s="5" t="s">
        <v>240</v>
      </c>
      <c r="E67" s="5">
        <v>82</v>
      </c>
      <c r="F67" s="5">
        <v>86</v>
      </c>
      <c r="G67" s="5">
        <v>78</v>
      </c>
      <c r="H67" s="7" t="str">
        <f t="shared" si="4"/>
        <v>82 x 86 x 78</v>
      </c>
      <c r="I67" s="5" t="s">
        <v>70</v>
      </c>
      <c r="J67" s="5" t="s">
        <v>167</v>
      </c>
      <c r="K67" s="8"/>
      <c r="L67" s="9">
        <f t="shared" si="5"/>
        <v>0.55000000000000004</v>
      </c>
      <c r="M67" s="10">
        <f>ROUND(L67*VLOOKUP(C67,Assumptions!$A$2:$B$10,2,FALSE),1)</f>
        <v>52.3</v>
      </c>
      <c r="N67" s="11"/>
      <c r="O67" s="12" t="s">
        <v>241</v>
      </c>
    </row>
    <row r="68" spans="1:15" ht="30" x14ac:dyDescent="0.25">
      <c r="A68" s="5" t="s">
        <v>242</v>
      </c>
      <c r="B68" s="6" t="s">
        <v>395</v>
      </c>
      <c r="C68" s="5" t="s">
        <v>41</v>
      </c>
      <c r="D68" s="5" t="s">
        <v>243</v>
      </c>
      <c r="E68" s="5">
        <v>80</v>
      </c>
      <c r="F68" s="5">
        <v>84</v>
      </c>
      <c r="G68" s="5">
        <v>78</v>
      </c>
      <c r="H68" s="7" t="str">
        <f t="shared" si="4"/>
        <v>80 x 84 x 78</v>
      </c>
      <c r="I68" s="5" t="s">
        <v>146</v>
      </c>
      <c r="J68" s="5" t="s">
        <v>167</v>
      </c>
      <c r="K68" s="8"/>
      <c r="L68" s="9">
        <f t="shared" si="5"/>
        <v>0.52400000000000002</v>
      </c>
      <c r="M68" s="10">
        <f>ROUND(L68*VLOOKUP(C68,Assumptions!$A$2:$B$10,2,FALSE),1)</f>
        <v>49.8</v>
      </c>
      <c r="N68" s="11"/>
      <c r="O68" s="12" t="s">
        <v>244</v>
      </c>
    </row>
    <row r="69" spans="1:15" x14ac:dyDescent="0.25">
      <c r="A69" s="5" t="s">
        <v>245</v>
      </c>
      <c r="B69" s="6" t="s">
        <v>396</v>
      </c>
      <c r="C69" s="5" t="s">
        <v>41</v>
      </c>
      <c r="D69" s="5" t="s">
        <v>246</v>
      </c>
      <c r="E69" s="5">
        <v>100</v>
      </c>
      <c r="F69" s="5">
        <v>95</v>
      </c>
      <c r="G69" s="5">
        <v>72</v>
      </c>
      <c r="H69" s="7" t="str">
        <f t="shared" si="4"/>
        <v>100 x 95 x 72</v>
      </c>
      <c r="I69" s="5" t="s">
        <v>321</v>
      </c>
      <c r="J69" s="5" t="s">
        <v>189</v>
      </c>
      <c r="K69" s="8"/>
      <c r="L69" s="9">
        <f t="shared" si="5"/>
        <v>0.68400000000000005</v>
      </c>
      <c r="M69" s="10">
        <f>ROUND(L69*VLOOKUP(C69,Assumptions!$A$2:$B$10,2,FALSE),1)</f>
        <v>65</v>
      </c>
      <c r="N69" s="11"/>
      <c r="O69" s="12" t="s">
        <v>247</v>
      </c>
    </row>
    <row r="70" spans="1:15" ht="30" x14ac:dyDescent="0.25">
      <c r="A70" s="5" t="s">
        <v>248</v>
      </c>
      <c r="B70" s="6" t="s">
        <v>397</v>
      </c>
      <c r="C70" s="5" t="s">
        <v>41</v>
      </c>
      <c r="D70" s="5" t="s">
        <v>249</v>
      </c>
      <c r="E70" s="5">
        <v>85</v>
      </c>
      <c r="F70" s="5">
        <v>88</v>
      </c>
      <c r="G70" s="5">
        <v>78</v>
      </c>
      <c r="H70" s="7" t="str">
        <f t="shared" si="4"/>
        <v>85 x 88 x 78</v>
      </c>
      <c r="I70" s="5" t="s">
        <v>146</v>
      </c>
      <c r="J70" s="5" t="s">
        <v>167</v>
      </c>
      <c r="K70" s="8"/>
      <c r="L70" s="9">
        <f t="shared" si="5"/>
        <v>0.58299999999999996</v>
      </c>
      <c r="M70" s="10">
        <f>ROUND(L70*VLOOKUP(C70,Assumptions!$A$2:$B$10,2,FALSE),1)</f>
        <v>55.4</v>
      </c>
      <c r="N70" s="11"/>
      <c r="O70" s="12" t="s">
        <v>250</v>
      </c>
    </row>
    <row r="71" spans="1:15" x14ac:dyDescent="0.25">
      <c r="A71" s="5" t="s">
        <v>251</v>
      </c>
      <c r="B71" s="6" t="s">
        <v>398</v>
      </c>
      <c r="C71" s="5" t="s">
        <v>41</v>
      </c>
      <c r="D71" s="5" t="s">
        <v>252</v>
      </c>
      <c r="E71" s="5">
        <v>75</v>
      </c>
      <c r="F71" s="5">
        <v>78</v>
      </c>
      <c r="G71" s="5">
        <v>72</v>
      </c>
      <c r="H71" s="7" t="str">
        <f t="shared" si="4"/>
        <v>75 x 78 x 72</v>
      </c>
      <c r="I71" s="5" t="s">
        <v>326</v>
      </c>
      <c r="J71" s="5" t="s">
        <v>253</v>
      </c>
      <c r="K71" s="8"/>
      <c r="L71" s="9">
        <f t="shared" si="5"/>
        <v>0.42099999999999999</v>
      </c>
      <c r="M71" s="10">
        <f>ROUND(L71*VLOOKUP(C71,Assumptions!$A$2:$B$10,2,FALSE),1)</f>
        <v>40</v>
      </c>
      <c r="N71" s="11"/>
      <c r="O71" s="12" t="s">
        <v>254</v>
      </c>
    </row>
    <row r="72" spans="1:15" ht="30" x14ac:dyDescent="0.25">
      <c r="A72" s="5" t="s">
        <v>255</v>
      </c>
      <c r="B72" s="6" t="s">
        <v>399</v>
      </c>
      <c r="C72" s="5" t="s">
        <v>179</v>
      </c>
      <c r="D72" s="5" t="s">
        <v>256</v>
      </c>
      <c r="E72" s="5">
        <v>200</v>
      </c>
      <c r="F72" s="5">
        <v>75</v>
      </c>
      <c r="G72" s="5">
        <v>34</v>
      </c>
      <c r="H72" s="7" t="str">
        <f t="shared" si="4"/>
        <v>200 x 75 x 34</v>
      </c>
      <c r="I72" s="5" t="s">
        <v>146</v>
      </c>
      <c r="J72" s="5" t="s">
        <v>174</v>
      </c>
      <c r="K72" s="8"/>
      <c r="L72" s="9">
        <f t="shared" si="5"/>
        <v>0.51</v>
      </c>
      <c r="M72" s="10">
        <f>ROUND(L72*VLOOKUP(C72,Assumptions!$A$2:$B$10,2,FALSE),1)</f>
        <v>33.200000000000003</v>
      </c>
      <c r="N72" s="11"/>
      <c r="O72" s="12" t="s">
        <v>257</v>
      </c>
    </row>
    <row r="73" spans="1:15" x14ac:dyDescent="0.25">
      <c r="A73" s="5" t="s">
        <v>258</v>
      </c>
      <c r="B73" s="6" t="s">
        <v>400</v>
      </c>
      <c r="C73" s="5" t="s">
        <v>179</v>
      </c>
      <c r="D73" s="5" t="s">
        <v>259</v>
      </c>
      <c r="E73" s="5">
        <v>165</v>
      </c>
      <c r="F73" s="5">
        <v>90</v>
      </c>
      <c r="G73" s="5">
        <v>78</v>
      </c>
      <c r="H73" s="7" t="str">
        <f t="shared" si="4"/>
        <v>165 x 90 x 78</v>
      </c>
      <c r="I73" s="5" t="s">
        <v>146</v>
      </c>
      <c r="J73" s="5" t="s">
        <v>174</v>
      </c>
      <c r="K73" s="8"/>
      <c r="L73" s="9">
        <f t="shared" si="5"/>
        <v>1.1579999999999999</v>
      </c>
      <c r="M73" s="10">
        <f>ROUND(L73*VLOOKUP(C73,Assumptions!$A$2:$B$10,2,FALSE),1)</f>
        <v>75.3</v>
      </c>
      <c r="N73" s="11"/>
      <c r="O73" s="12" t="s">
        <v>260</v>
      </c>
    </row>
    <row r="74" spans="1:15" x14ac:dyDescent="0.25">
      <c r="A74" s="5" t="s">
        <v>261</v>
      </c>
      <c r="B74" s="6" t="s">
        <v>401</v>
      </c>
      <c r="C74" s="5" t="s">
        <v>162</v>
      </c>
      <c r="D74" s="5" t="s">
        <v>262</v>
      </c>
      <c r="E74" s="5">
        <v>280</v>
      </c>
      <c r="F74" s="5">
        <v>160</v>
      </c>
      <c r="G74" s="5">
        <v>82</v>
      </c>
      <c r="H74" s="7" t="str">
        <f t="shared" si="4"/>
        <v>280 x 160 x 82</v>
      </c>
      <c r="I74" s="5" t="s">
        <v>146</v>
      </c>
      <c r="J74" s="5" t="s">
        <v>174</v>
      </c>
      <c r="K74" s="8"/>
      <c r="L74" s="9">
        <f t="shared" si="5"/>
        <v>3.6739999999999999</v>
      </c>
      <c r="M74" s="10">
        <f>ROUND(L74*VLOOKUP(C74,Assumptions!$A$2:$B$10,2,FALSE),1)</f>
        <v>257.2</v>
      </c>
      <c r="N74" s="11"/>
      <c r="O74" s="12" t="s">
        <v>263</v>
      </c>
    </row>
    <row r="75" spans="1:15" x14ac:dyDescent="0.25">
      <c r="A75" s="5" t="s">
        <v>264</v>
      </c>
      <c r="B75" s="6" t="s">
        <v>402</v>
      </c>
      <c r="C75" s="5" t="s">
        <v>162</v>
      </c>
      <c r="D75" s="5" t="s">
        <v>265</v>
      </c>
      <c r="E75" s="5">
        <v>240</v>
      </c>
      <c r="F75" s="5">
        <v>90</v>
      </c>
      <c r="G75" s="5">
        <v>82</v>
      </c>
      <c r="H75" s="7" t="str">
        <f t="shared" si="4"/>
        <v>240 x 90 x 82</v>
      </c>
      <c r="I75" s="5" t="s">
        <v>146</v>
      </c>
      <c r="J75" s="5" t="s">
        <v>174</v>
      </c>
      <c r="K75" s="8"/>
      <c r="L75" s="9">
        <f t="shared" si="5"/>
        <v>1.7709999999999999</v>
      </c>
      <c r="M75" s="10">
        <f>ROUND(L75*VLOOKUP(C75,Assumptions!$A$2:$B$10,2,FALSE),1)</f>
        <v>124</v>
      </c>
      <c r="N75" s="11"/>
      <c r="O75" s="12" t="s">
        <v>266</v>
      </c>
    </row>
    <row r="76" spans="1:15" ht="30" x14ac:dyDescent="0.25">
      <c r="A76" s="5" t="s">
        <v>267</v>
      </c>
      <c r="B76" s="6" t="s">
        <v>403</v>
      </c>
      <c r="C76" s="5" t="s">
        <v>41</v>
      </c>
      <c r="D76" s="5" t="s">
        <v>268</v>
      </c>
      <c r="E76" s="5">
        <v>82</v>
      </c>
      <c r="F76" s="5">
        <v>86</v>
      </c>
      <c r="G76" s="5">
        <v>78</v>
      </c>
      <c r="H76" s="7" t="str">
        <f t="shared" si="4"/>
        <v>82 x 86 x 78</v>
      </c>
      <c r="I76" s="5" t="s">
        <v>146</v>
      </c>
      <c r="J76" s="5" t="s">
        <v>174</v>
      </c>
      <c r="K76" s="8"/>
      <c r="L76" s="9">
        <f t="shared" si="5"/>
        <v>0.55000000000000004</v>
      </c>
      <c r="M76" s="10">
        <f>ROUND(L76*VLOOKUP(C76,Assumptions!$A$2:$B$10,2,FALSE),1)</f>
        <v>52.3</v>
      </c>
      <c r="N76" s="11"/>
      <c r="O76" s="12" t="s">
        <v>269</v>
      </c>
    </row>
    <row r="77" spans="1:15" ht="30" x14ac:dyDescent="0.25">
      <c r="A77" s="5" t="s">
        <v>270</v>
      </c>
      <c r="B77" s="6" t="s">
        <v>404</v>
      </c>
      <c r="C77" s="5" t="s">
        <v>179</v>
      </c>
      <c r="D77" s="5" t="s">
        <v>271</v>
      </c>
      <c r="E77" s="5">
        <v>200</v>
      </c>
      <c r="F77" s="5">
        <v>75</v>
      </c>
      <c r="G77" s="5">
        <v>34</v>
      </c>
      <c r="H77" s="7" t="str">
        <f t="shared" si="4"/>
        <v>200 x 75 x 34</v>
      </c>
      <c r="I77" s="5" t="s">
        <v>146</v>
      </c>
      <c r="J77" s="5" t="s">
        <v>167</v>
      </c>
      <c r="K77" s="8"/>
      <c r="L77" s="9">
        <f t="shared" si="5"/>
        <v>0.51</v>
      </c>
      <c r="M77" s="10">
        <f>ROUND(L77*VLOOKUP(C77,Assumptions!$A$2:$B$10,2,FALSE),1)</f>
        <v>33.200000000000003</v>
      </c>
      <c r="N77" s="11"/>
      <c r="O77" s="12" t="s">
        <v>272</v>
      </c>
    </row>
    <row r="78" spans="1:15" ht="30" x14ac:dyDescent="0.25">
      <c r="A78" s="5" t="s">
        <v>273</v>
      </c>
      <c r="B78" s="6" t="s">
        <v>405</v>
      </c>
      <c r="C78" s="5" t="s">
        <v>179</v>
      </c>
      <c r="D78" s="5" t="s">
        <v>274</v>
      </c>
      <c r="E78" s="5">
        <v>200</v>
      </c>
      <c r="F78" s="5">
        <v>150</v>
      </c>
      <c r="G78" s="5">
        <v>34</v>
      </c>
      <c r="H78" s="7" t="str">
        <f t="shared" si="4"/>
        <v>200 x 150 x 34</v>
      </c>
      <c r="I78" s="5" t="s">
        <v>146</v>
      </c>
      <c r="J78" s="5" t="s">
        <v>167</v>
      </c>
      <c r="K78" s="8"/>
      <c r="L78" s="9">
        <f t="shared" si="5"/>
        <v>1.02</v>
      </c>
      <c r="M78" s="10">
        <f>ROUND(L78*VLOOKUP(C78,Assumptions!$A$2:$B$10,2,FALSE),1)</f>
        <v>66.3</v>
      </c>
      <c r="N78" s="11"/>
      <c r="O78" s="12" t="s">
        <v>275</v>
      </c>
    </row>
    <row r="79" spans="1:15" ht="30" x14ac:dyDescent="0.25">
      <c r="A79" s="5" t="s">
        <v>276</v>
      </c>
      <c r="B79" s="6" t="s">
        <v>406</v>
      </c>
      <c r="C79" s="5" t="s">
        <v>179</v>
      </c>
      <c r="D79" s="5" t="s">
        <v>277</v>
      </c>
      <c r="E79" s="5">
        <v>220</v>
      </c>
      <c r="F79" s="5">
        <v>160</v>
      </c>
      <c r="G79" s="5">
        <v>78</v>
      </c>
      <c r="H79" s="7" t="str">
        <f t="shared" si="4"/>
        <v>220 x 160 x 78</v>
      </c>
      <c r="I79" s="5" t="s">
        <v>278</v>
      </c>
      <c r="J79" s="5" t="s">
        <v>167</v>
      </c>
      <c r="K79" s="8"/>
      <c r="L79" s="9">
        <f t="shared" si="5"/>
        <v>2.746</v>
      </c>
      <c r="M79" s="10">
        <f>ROUND(L79*VLOOKUP(C79,Assumptions!$A$2:$B$10,2,FALSE),1)</f>
        <v>178.5</v>
      </c>
      <c r="N79" s="11"/>
      <c r="O79" s="12" t="s">
        <v>279</v>
      </c>
    </row>
    <row r="80" spans="1:15" ht="30" x14ac:dyDescent="0.25">
      <c r="A80" s="5" t="s">
        <v>280</v>
      </c>
      <c r="B80" s="6" t="s">
        <v>407</v>
      </c>
      <c r="C80" s="5" t="s">
        <v>179</v>
      </c>
      <c r="D80" s="5" t="s">
        <v>281</v>
      </c>
      <c r="E80" s="5">
        <v>205</v>
      </c>
      <c r="F80" s="5">
        <v>80</v>
      </c>
      <c r="G80" s="5">
        <v>34</v>
      </c>
      <c r="H80" s="7" t="str">
        <f t="shared" si="4"/>
        <v>205 x 80 x 34</v>
      </c>
      <c r="I80" s="5" t="s">
        <v>278</v>
      </c>
      <c r="J80" s="5" t="s">
        <v>167</v>
      </c>
      <c r="K80" s="8"/>
      <c r="L80" s="9">
        <f t="shared" si="5"/>
        <v>0.55800000000000005</v>
      </c>
      <c r="M80" s="10">
        <f>ROUND(L80*VLOOKUP(C80,Assumptions!$A$2:$B$10,2,FALSE),1)</f>
        <v>36.299999999999997</v>
      </c>
      <c r="N80" s="11"/>
      <c r="O80" s="12" t="s">
        <v>282</v>
      </c>
    </row>
    <row r="81" spans="1:15" ht="30" x14ac:dyDescent="0.25">
      <c r="A81" s="5" t="s">
        <v>283</v>
      </c>
      <c r="B81" s="6" t="s">
        <v>408</v>
      </c>
      <c r="C81" s="5" t="s">
        <v>179</v>
      </c>
      <c r="D81" s="5" t="s">
        <v>284</v>
      </c>
      <c r="E81" s="5">
        <v>200</v>
      </c>
      <c r="F81" s="5">
        <v>150</v>
      </c>
      <c r="G81" s="5">
        <v>34</v>
      </c>
      <c r="H81" s="7" t="str">
        <f t="shared" si="4"/>
        <v>200 x 150 x 34</v>
      </c>
      <c r="I81" s="5" t="s">
        <v>146</v>
      </c>
      <c r="J81" s="5" t="s">
        <v>167</v>
      </c>
      <c r="K81" s="8"/>
      <c r="L81" s="9">
        <f t="shared" si="5"/>
        <v>1.02</v>
      </c>
      <c r="M81" s="10">
        <f>ROUND(L81*VLOOKUP(C81,Assumptions!$A$2:$B$10,2,FALSE),1)</f>
        <v>66.3</v>
      </c>
      <c r="N81" s="11"/>
      <c r="O81" s="12" t="s">
        <v>285</v>
      </c>
    </row>
    <row r="82" spans="1:15" ht="30" x14ac:dyDescent="0.25">
      <c r="A82" s="5" t="s">
        <v>286</v>
      </c>
      <c r="B82" s="6" t="s">
        <v>409</v>
      </c>
      <c r="C82" s="5" t="s">
        <v>179</v>
      </c>
      <c r="D82" s="5" t="s">
        <v>287</v>
      </c>
      <c r="E82" s="5">
        <v>220</v>
      </c>
      <c r="F82" s="5">
        <v>160</v>
      </c>
      <c r="G82" s="5">
        <v>78</v>
      </c>
      <c r="H82" s="7" t="str">
        <f t="shared" si="4"/>
        <v>220 x 160 x 78</v>
      </c>
      <c r="I82" s="5" t="s">
        <v>278</v>
      </c>
      <c r="J82" s="5" t="s">
        <v>167</v>
      </c>
      <c r="K82" s="8"/>
      <c r="L82" s="9">
        <f t="shared" si="5"/>
        <v>2.746</v>
      </c>
      <c r="M82" s="10">
        <f>ROUND(L82*VLOOKUP(C82,Assumptions!$A$2:$B$10,2,FALSE),1)</f>
        <v>178.5</v>
      </c>
      <c r="N82" s="11"/>
      <c r="O82" s="12" t="s">
        <v>288</v>
      </c>
    </row>
    <row r="83" spans="1:15" ht="30" x14ac:dyDescent="0.25">
      <c r="A83" s="5" t="s">
        <v>289</v>
      </c>
      <c r="B83" s="6" t="s">
        <v>410</v>
      </c>
      <c r="C83" s="5" t="s">
        <v>179</v>
      </c>
      <c r="D83" s="5" t="s">
        <v>290</v>
      </c>
      <c r="E83" s="5">
        <v>200</v>
      </c>
      <c r="F83" s="5">
        <v>75</v>
      </c>
      <c r="G83" s="5">
        <v>34</v>
      </c>
      <c r="H83" s="7" t="str">
        <f t="shared" si="4"/>
        <v>200 x 75 x 34</v>
      </c>
      <c r="I83" s="5" t="s">
        <v>146</v>
      </c>
      <c r="J83" s="5" t="s">
        <v>167</v>
      </c>
      <c r="K83" s="8"/>
      <c r="L83" s="9">
        <f t="shared" si="5"/>
        <v>0.51</v>
      </c>
      <c r="M83" s="10">
        <f>ROUND(L83*VLOOKUP(C83,Assumptions!$A$2:$B$10,2,FALSE),1)</f>
        <v>33.200000000000003</v>
      </c>
      <c r="N83" s="11"/>
      <c r="O83" s="12" t="s">
        <v>291</v>
      </c>
    </row>
    <row r="84" spans="1:15" ht="30" x14ac:dyDescent="0.25">
      <c r="A84" s="5" t="s">
        <v>292</v>
      </c>
      <c r="B84" s="6" t="s">
        <v>411</v>
      </c>
      <c r="C84" s="5" t="s">
        <v>144</v>
      </c>
      <c r="D84" s="5" t="s">
        <v>293</v>
      </c>
      <c r="E84" s="5">
        <v>220</v>
      </c>
      <c r="F84" s="5">
        <v>95</v>
      </c>
      <c r="G84" s="5">
        <v>74</v>
      </c>
      <c r="H84" s="7" t="str">
        <f t="shared" si="4"/>
        <v>220 x 95 x 74</v>
      </c>
      <c r="I84" s="5" t="s">
        <v>321</v>
      </c>
      <c r="J84" s="5" t="s">
        <v>18</v>
      </c>
      <c r="K84" s="8"/>
      <c r="L84" s="9">
        <f t="shared" si="5"/>
        <v>1.5469999999999999</v>
      </c>
      <c r="M84" s="10">
        <f>ROUND(L84*VLOOKUP(C84,Assumptions!$A$2:$B$10,2,FALSE),1)</f>
        <v>247.5</v>
      </c>
      <c r="N84" s="11"/>
      <c r="O84" s="12" t="s">
        <v>294</v>
      </c>
    </row>
    <row r="85" spans="1:15" ht="30" x14ac:dyDescent="0.25">
      <c r="A85" s="5" t="s">
        <v>295</v>
      </c>
      <c r="B85" s="6" t="s">
        <v>412</v>
      </c>
      <c r="C85" s="5" t="s">
        <v>81</v>
      </c>
      <c r="D85" s="5" t="s">
        <v>296</v>
      </c>
      <c r="E85" s="5">
        <v>55</v>
      </c>
      <c r="F85" s="5">
        <v>55</v>
      </c>
      <c r="G85" s="5">
        <v>50</v>
      </c>
      <c r="H85" s="7" t="str">
        <f t="shared" si="4"/>
        <v>55 x 55 x 50</v>
      </c>
      <c r="I85" s="5" t="s">
        <v>321</v>
      </c>
      <c r="J85" s="5" t="s">
        <v>18</v>
      </c>
      <c r="K85" s="8"/>
      <c r="L85" s="9">
        <f t="shared" si="5"/>
        <v>0.151</v>
      </c>
      <c r="M85" s="10">
        <f>ROUND(L85*VLOOKUP(C85,Assumptions!$A$2:$B$10,2,FALSE),1)</f>
        <v>19.600000000000001</v>
      </c>
      <c r="N85" s="11"/>
      <c r="O85" s="12" t="s">
        <v>297</v>
      </c>
    </row>
    <row r="86" spans="1:15" ht="30" x14ac:dyDescent="0.25">
      <c r="A86" s="5" t="s">
        <v>298</v>
      </c>
      <c r="B86" s="6" t="s">
        <v>413</v>
      </c>
      <c r="C86" s="5" t="s">
        <v>140</v>
      </c>
      <c r="D86" s="5" t="s">
        <v>299</v>
      </c>
      <c r="E86" s="5">
        <v>140</v>
      </c>
      <c r="F86" s="5">
        <v>140</v>
      </c>
      <c r="G86" s="5">
        <v>74</v>
      </c>
      <c r="H86" s="7" t="str">
        <f t="shared" si="4"/>
        <v>140 x 140 x 74</v>
      </c>
      <c r="I86" s="5" t="s">
        <v>321</v>
      </c>
      <c r="J86" s="5" t="s">
        <v>18</v>
      </c>
      <c r="K86" s="8"/>
      <c r="L86" s="9">
        <f t="shared" si="5"/>
        <v>1.45</v>
      </c>
      <c r="M86" s="10">
        <f>ROUND(L86*VLOOKUP(C86,Assumptions!$A$2:$B$10,2,FALSE),1)</f>
        <v>253.8</v>
      </c>
      <c r="N86" s="11"/>
      <c r="O86" s="12" t="s">
        <v>300</v>
      </c>
    </row>
    <row r="87" spans="1:15" x14ac:dyDescent="0.25">
      <c r="A87" s="5" t="s">
        <v>301</v>
      </c>
      <c r="B87" s="6" t="s">
        <v>414</v>
      </c>
      <c r="C87" s="5" t="s">
        <v>144</v>
      </c>
      <c r="D87" s="5" t="s">
        <v>302</v>
      </c>
      <c r="E87" s="5">
        <v>220</v>
      </c>
      <c r="F87" s="5">
        <v>45</v>
      </c>
      <c r="G87" s="5">
        <v>42</v>
      </c>
      <c r="H87" s="7" t="str">
        <f t="shared" si="4"/>
        <v>220 x 45 x 42</v>
      </c>
      <c r="I87" s="5" t="s">
        <v>321</v>
      </c>
      <c r="J87" s="5" t="s">
        <v>18</v>
      </c>
      <c r="K87" s="8"/>
      <c r="L87" s="9">
        <f t="shared" si="5"/>
        <v>0.41599999999999998</v>
      </c>
      <c r="M87" s="10">
        <f>ROUND(L87*VLOOKUP(C87,Assumptions!$A$2:$B$10,2,FALSE),1)</f>
        <v>66.599999999999994</v>
      </c>
      <c r="N87" s="11"/>
      <c r="O87" s="12" t="s">
        <v>303</v>
      </c>
    </row>
    <row r="88" spans="1:15" ht="30" x14ac:dyDescent="0.25">
      <c r="A88" s="5" t="s">
        <v>304</v>
      </c>
      <c r="B88" s="6" t="s">
        <v>415</v>
      </c>
      <c r="C88" s="5" t="s">
        <v>144</v>
      </c>
      <c r="D88" s="5" t="s">
        <v>305</v>
      </c>
      <c r="E88" s="5">
        <v>220</v>
      </c>
      <c r="F88" s="5">
        <v>95</v>
      </c>
      <c r="G88" s="5">
        <v>74</v>
      </c>
      <c r="H88" s="7" t="str">
        <f t="shared" si="4"/>
        <v>220 x 95 x 74</v>
      </c>
      <c r="I88" s="5" t="s">
        <v>321</v>
      </c>
      <c r="J88" s="5" t="s">
        <v>18</v>
      </c>
      <c r="K88" s="8"/>
      <c r="L88" s="9">
        <f t="shared" si="5"/>
        <v>1.5469999999999999</v>
      </c>
      <c r="M88" s="10">
        <f>ROUND(L88*VLOOKUP(C88,Assumptions!$A$2:$B$10,2,FALSE),1)</f>
        <v>247.5</v>
      </c>
      <c r="N88" s="11"/>
      <c r="O88" s="12" t="s">
        <v>306</v>
      </c>
    </row>
    <row r="89" spans="1:15" x14ac:dyDescent="0.25">
      <c r="A89" s="5" t="s">
        <v>307</v>
      </c>
      <c r="B89" s="6" t="s">
        <v>416</v>
      </c>
      <c r="C89" s="5" t="s">
        <v>140</v>
      </c>
      <c r="D89" s="5" t="s">
        <v>308</v>
      </c>
      <c r="E89" s="5">
        <v>130</v>
      </c>
      <c r="F89" s="5">
        <v>130</v>
      </c>
      <c r="G89" s="5">
        <v>74</v>
      </c>
      <c r="H89" s="7" t="str">
        <f t="shared" si="4"/>
        <v>130 x 130 x 74</v>
      </c>
      <c r="I89" s="5" t="s">
        <v>321</v>
      </c>
      <c r="J89" s="5" t="s">
        <v>18</v>
      </c>
      <c r="K89" s="8"/>
      <c r="L89" s="9">
        <f t="shared" si="5"/>
        <v>1.2509999999999999</v>
      </c>
      <c r="M89" s="10">
        <f>ROUND(L89*VLOOKUP(C89,Assumptions!$A$2:$B$10,2,FALSE),1)</f>
        <v>218.9</v>
      </c>
      <c r="N89" s="11"/>
      <c r="O89" s="12" t="s">
        <v>309</v>
      </c>
    </row>
    <row r="90" spans="1:15" x14ac:dyDescent="0.25">
      <c r="A90" s="5" t="s">
        <v>310</v>
      </c>
      <c r="B90" s="6" t="s">
        <v>417</v>
      </c>
      <c r="C90" s="5" t="s">
        <v>144</v>
      </c>
      <c r="D90" s="5" t="s">
        <v>311</v>
      </c>
      <c r="E90" s="5">
        <v>120</v>
      </c>
      <c r="F90" s="5">
        <v>60</v>
      </c>
      <c r="G90" s="5">
        <v>36</v>
      </c>
      <c r="H90" s="7" t="str">
        <f t="shared" si="4"/>
        <v>120 x 60 x 36</v>
      </c>
      <c r="I90" s="5" t="s">
        <v>321</v>
      </c>
      <c r="J90" s="5" t="s">
        <v>18</v>
      </c>
      <c r="K90" s="8"/>
      <c r="L90" s="9">
        <f t="shared" si="5"/>
        <v>0.25900000000000001</v>
      </c>
      <c r="M90" s="10">
        <f>ROUND(L90*VLOOKUP(C90,Assumptions!$A$2:$B$10,2,FALSE),1)</f>
        <v>41.4</v>
      </c>
      <c r="N90" s="11"/>
      <c r="O90" s="12" t="s">
        <v>312</v>
      </c>
    </row>
  </sheetData>
  <autoFilter ref="A1:O90" xr:uid="{00000000-0009-0000-0000-000000000000}"/>
  <phoneticPr fontId="7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5" x14ac:dyDescent="0.25"/>
  <cols>
    <col min="1" max="2" width="22" customWidth="1"/>
    <col min="3" max="3" width="52" customWidth="1"/>
  </cols>
  <sheetData>
    <row r="1" spans="1:3" x14ac:dyDescent="0.25">
      <c r="A1" s="2" t="s">
        <v>2</v>
      </c>
      <c r="B1" s="2" t="s">
        <v>313</v>
      </c>
      <c r="C1" s="2" t="s">
        <v>314</v>
      </c>
    </row>
    <row r="2" spans="1:3" x14ac:dyDescent="0.25">
      <c r="A2" t="s">
        <v>16</v>
      </c>
      <c r="B2">
        <v>210</v>
      </c>
      <c r="C2" t="s">
        <v>315</v>
      </c>
    </row>
    <row r="3" spans="1:3" x14ac:dyDescent="0.25">
      <c r="A3" t="s">
        <v>46</v>
      </c>
      <c r="B3">
        <v>115</v>
      </c>
      <c r="C3" t="s">
        <v>315</v>
      </c>
    </row>
    <row r="4" spans="1:3" x14ac:dyDescent="0.25">
      <c r="A4" t="s">
        <v>41</v>
      </c>
      <c r="B4">
        <v>95</v>
      </c>
      <c r="C4" t="s">
        <v>315</v>
      </c>
    </row>
    <row r="5" spans="1:3" x14ac:dyDescent="0.25">
      <c r="A5" t="s">
        <v>162</v>
      </c>
      <c r="B5">
        <v>70</v>
      </c>
      <c r="C5" t="s">
        <v>315</v>
      </c>
    </row>
    <row r="6" spans="1:3" x14ac:dyDescent="0.25">
      <c r="A6" t="s">
        <v>179</v>
      </c>
      <c r="B6">
        <v>65</v>
      </c>
      <c r="C6" t="s">
        <v>315</v>
      </c>
    </row>
    <row r="7" spans="1:3" x14ac:dyDescent="0.25">
      <c r="A7" t="s">
        <v>144</v>
      </c>
      <c r="B7">
        <v>160</v>
      </c>
      <c r="C7" t="s">
        <v>315</v>
      </c>
    </row>
    <row r="8" spans="1:3" x14ac:dyDescent="0.25">
      <c r="A8" t="s">
        <v>140</v>
      </c>
      <c r="B8">
        <v>175</v>
      </c>
      <c r="C8" t="s">
        <v>315</v>
      </c>
    </row>
    <row r="9" spans="1:3" x14ac:dyDescent="0.25">
      <c r="A9" t="s">
        <v>21</v>
      </c>
      <c r="B9">
        <v>150</v>
      </c>
      <c r="C9" t="s">
        <v>315</v>
      </c>
    </row>
    <row r="10" spans="1:3" x14ac:dyDescent="0.25">
      <c r="A10" t="s">
        <v>81</v>
      </c>
      <c r="B10">
        <v>130</v>
      </c>
      <c r="C10" t="s">
        <v>315</v>
      </c>
    </row>
    <row r="13" spans="1:3" x14ac:dyDescent="0.25">
      <c r="A13" s="3" t="s">
        <v>316</v>
      </c>
    </row>
    <row r="14" spans="1:3" x14ac:dyDescent="0.25">
      <c r="A14" t="s">
        <v>317</v>
      </c>
    </row>
    <row r="15" spans="1:3" x14ac:dyDescent="0.25">
      <c r="A15" t="s">
        <v>318</v>
      </c>
    </row>
    <row r="16" spans="1:3" x14ac:dyDescent="0.25">
      <c r="A16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FFE Schedule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Cesare Negro</cp:lastModifiedBy>
  <dcterms:created xsi:type="dcterms:W3CDTF">2026-04-14T01:51:15Z</dcterms:created>
  <dcterms:modified xsi:type="dcterms:W3CDTF">2026-04-14T13:55:37Z</dcterms:modified>
</cp:coreProperties>
</file>